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职业财务摘要" sheetId="2" state="visible" r:id="rId4"/>
    <sheet name="需求清单" sheetId="3" state="visible" r:id="rId5"/>
    <sheet name="规则决策" sheetId="4" state="visible" r:id="rId6"/>
    <sheet name="职业数据" sheetId="5" state="visible" r:id="rId7"/>
    <sheet name="小买卖" sheetId="6" state="visible" r:id="rId8"/>
    <sheet name="大买卖" sheetId="7" state="visible" r:id="rId9"/>
    <sheet name="市场" sheetId="8" state="visible" r:id="rId10"/>
    <sheet name="额外支出" sheetId="9" state="visible" r:id="rId11"/>
    <sheet name="梦想" sheetId="10" state="visible" r:id="rId12"/>
    <sheet name="快车道" sheetId="11" state="visible" r:id="rId13"/>
    <sheet name="数量复核" sheetId="12" state="visible" r:id="rId14"/>
    <sheet name="机制数据字典" sheetId="13" state="visible" r:id="rId15"/>
    <sheet name="数值不变量" sheetId="14" state="visible" r:id="rId16"/>
  </sheets>
  <definedNames>
    <definedName function="false" hidden="false" localSheetId="6" name="_xlnm.Print_Titles" vbProcedure="false">大买卖!$1:$4</definedName>
    <definedName function="false" hidden="true" localSheetId="6" name="_xlnm._FilterDatabase" vbProcedure="false">大买卖!$A$4:$K$44</definedName>
    <definedName function="false" hidden="false" localSheetId="5" name="_xlnm.Print_Titles" vbProcedure="false">小买卖!$1:$4</definedName>
    <definedName function="false" hidden="true" localSheetId="5" name="_xlnm._FilterDatabase" vbProcedure="false">小买卖!$A$4:$Q$59</definedName>
    <definedName function="false" hidden="false" localSheetId="7" name="_xlnm.Print_Titles" vbProcedure="false">市场!$1:$4</definedName>
    <definedName function="false" hidden="true" localSheetId="7" name="_xlnm._FilterDatabase" vbProcedure="false">市场!$A$4:$G$49</definedName>
    <definedName function="false" hidden="false" localSheetId="10" name="_xlnm.Print_Titles" vbProcedure="false">快车道!$1:$4</definedName>
    <definedName function="false" hidden="true" localSheetId="10" name="_xlnm._FilterDatabase" vbProcedure="false">快车道!$A$4:$H$52</definedName>
    <definedName function="false" hidden="false" localSheetId="13" name="_xlnm.Print_Titles" vbProcedure="false">数值不变量!$1:$4</definedName>
    <definedName function="false" hidden="true" localSheetId="13" name="_xlnm._FilterDatabase" vbProcedure="false">数值不变量!$A$4:$D$11</definedName>
    <definedName function="false" hidden="false" localSheetId="11" name="_xlnm.Print_Titles" vbProcedure="false">数量复核!$1:$4</definedName>
    <definedName function="false" hidden="true" localSheetId="11" name="_xlnm._FilterDatabase" vbProcedure="false">数量复核!$A$4:$E$11</definedName>
    <definedName function="false" hidden="false" localSheetId="12" name="_xlnm.Print_Titles" vbProcedure="false">机制数据字典!$1:$4</definedName>
    <definedName function="false" hidden="true" localSheetId="12" name="_xlnm._FilterDatabase" vbProcedure="false">机制数据字典!$A$4:$F$71</definedName>
    <definedName function="false" hidden="false" localSheetId="9" name="_xlnm.Print_Titles" vbProcedure="false">梦想!$1:$4</definedName>
    <definedName function="false" hidden="true" localSheetId="9" name="_xlnm._FilterDatabase" vbProcedure="false">梦想!$A$4:$F$27</definedName>
    <definedName function="false" hidden="false" localSheetId="4" name="_xlnm.Print_Titles" vbProcedure="false">职业数据!$1:$4</definedName>
    <definedName function="false" hidden="true" localSheetId="4" name="_xlnm._FilterDatabase" vbProcedure="false">职业数据!$A$4:$S$16</definedName>
    <definedName function="false" hidden="false" localSheetId="1" name="_xlnm.Print_Titles" vbProcedure="false">职业财务摘要!$1:$4</definedName>
    <definedName function="false" hidden="true" localSheetId="1" name="_xlnm._FilterDatabase" vbProcedure="false">职业财务摘要!$A$4:$H$16</definedName>
    <definedName function="false" hidden="false" localSheetId="3" name="_xlnm.Print_Titles" vbProcedure="false">规则决策!$1:$4</definedName>
    <definedName function="false" hidden="true" localSheetId="3" name="_xlnm._FilterDatabase" vbProcedure="false">规则决策!$A$4:$F$13</definedName>
    <definedName function="false" hidden="false" localSheetId="2" name="_xlnm.Print_Titles" vbProcedure="false">需求清单!$1:$4</definedName>
    <definedName function="false" hidden="true" localSheetId="2" name="_xlnm._FilterDatabase" vbProcedure="false">需求清单!$A$4:$G$22</definedName>
    <definedName function="false" hidden="false" localSheetId="8" name="_xlnm.Print_Titles" vbProcedure="false">额外支出!$1:$4</definedName>
    <definedName function="false" hidden="true" localSheetId="8" name="_xlnm._FilterDatabase" vbProcedure="false">额外支出!$A$4:$F$46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<sst xmlns="http://schemas.openxmlformats.org/spreadsheetml/2006/main" count="1619" uniqueCount="762">
  <si>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</si>
  <si>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</si>
  <si>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</si>
  <si>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</si>
  <si>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</si>
  <si>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</si>
  <si>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t xml:space="preserve">当前代码、audit/validation-latest.json、公开来源台账</t>
  </si>
  <si>
    <t xml:space="preserve">批准</t>
  </si>
  <si>
    <t xml:space="preserve">待指定责任角色正式评审；本次仅复核资料和文件有效性</t>
  </si>
  <si>
    <t xml:space="preserve">职业财务摘要｜参考profile开局</t>
  </si>
  <si>
    <t xml:space="preserve">公式只对应当前参考profile，教育贷款初始化兼容差异见DEC-04。</t>
  </si>
  <si>
    <t xml:space="preserve">金额为数值；工资与支出图用于设计复核，不代表难度平衡已获批准。</t>
  </si>
  <si>
    <t xml:space="preserve">职业</t>
  </si>
  <si>
    <t xml:space="preserve">工资</t>
  </si>
  <si>
    <t xml:space="preserve">税</t>
  </si>
  <si>
    <t xml:space="preserve">其他支出</t>
  </si>
  <si>
    <t xml:space="preserve">贷款月供</t>
  </si>
  <si>
    <t xml:space="preserve">总支出（公式）</t>
  </si>
  <si>
    <t xml:space="preserve">净流入（公式）</t>
  </si>
  <si>
    <t xml:space="preserve">一次性储蓄</t>
  </si>
  <si>
    <t xml:space="preserve">教师</t>
  </si>
  <si>
    <t xml:space="preserve">护士</t>
  </si>
  <si>
    <t xml:space="preserve">警察</t>
  </si>
  <si>
    <t xml:space="preserve">机械师</t>
  </si>
  <si>
    <t xml:space="preserve">卡车司机</t>
  </si>
  <si>
    <t xml:space="preserve">秘书</t>
  </si>
  <si>
    <t xml:space="preserve">工程师</t>
  </si>
  <si>
    <t xml:space="preserve">律师</t>
  </si>
  <si>
    <t xml:space="preserve">医生</t>
  </si>
  <si>
    <t xml:space="preserve">航空驾驶员</t>
  </si>
  <si>
    <t xml:space="preserve">企业经理</t>
  </si>
  <si>
    <t xml:space="preserve">清洁工</t>
  </si>
  <si>
    <t xml:space="preserve">需求规则与数值主表</t>
  </si>
  <si>
    <t xml:space="preserve">基线 v0.6.4 | 2026-10-27 | 自动化通过不代替最终验收</t>
  </si>
  <si>
    <t xml:space="preserve">请使用筛选定位ID；字段名称保留实现含义，来源与状态不得删除。</t>
  </si>
  <si>
    <t xml:space="preserve">需求ID</t>
  </si>
  <si>
    <t xml:space="preserve">主题</t>
  </si>
  <si>
    <t xml:space="preserve">通过标准</t>
  </si>
  <si>
    <t xml:space="preserve">负责角色</t>
  </si>
  <si>
    <t xml:space="preserve">测试／依据</t>
  </si>
  <si>
    <t xml:space="preserve">UAT</t>
  </si>
  <si>
    <t xml:space="preserve">REQ-001</t>
  </si>
  <si>
    <t xml:space="preserve">完整包本地入口</t>
  </si>
  <si>
    <t xml:space="preserve">解压完整包后打开index；无外部资源／接口仍可建房、开局、保存和恢复。</t>
  </si>
  <si>
    <t xml:space="preserve">前端／构建</t>
  </si>
  <si>
    <t xml:space="preserve">scripts/standalone-smoke.cjs</t>
  </si>
  <si>
    <t xml:space="preserve">UAT-01</t>
  </si>
  <si>
    <t xml:space="preserve">真实file入口仍待设备实测</t>
  </si>
  <si>
    <t xml:space="preserve">REQ-002</t>
  </si>
  <si>
    <t xml:space="preserve">规则与财务</t>
  </si>
  <si>
    <t xml:space="preserve">现金、资产、债务、月供与现金流按选定profile结算，不混用实体与在线版。</t>
  </si>
  <si>
    <t xml:space="preserve">规则／数值</t>
  </si>
  <si>
    <t xml:space="preserve">engine.test.cjs</t>
  </si>
  <si>
    <t xml:space="preserve">UAT-02</t>
  </si>
  <si>
    <t xml:space="preserve">机械测试通过，参考差异未关闭</t>
  </si>
  <si>
    <t xml:space="preserve">REQ-003</t>
  </si>
  <si>
    <t xml:space="preserve">完整轮次</t>
  </si>
  <si>
    <t xml:space="preserve">逐人选梦想、掷骰、待处理事件、结束回合与终局的先后关系正确。</t>
  </si>
  <si>
    <t xml:space="preserve">规则／前端</t>
  </si>
  <si>
    <t xml:space="preserve">scripts/reference-ui-smoke.cjs</t>
  </si>
  <si>
    <t xml:space="preserve">有自动化证据，待用户验收</t>
  </si>
  <si>
    <t xml:space="preserve">REQ-004</t>
  </si>
  <si>
    <t xml:space="preserve">显示与金额</t>
  </si>
  <si>
    <t xml:space="preserve">中文标签、份数与最大允许交易金额不重叠；报表开合不写回旧布局。</t>
  </si>
  <si>
    <r>
      <rPr>
        <sz val="10"/>
        <color rgb="FF253B4B"/>
        <rFont val="Microsoft YaHei"/>
        <family val="0"/>
        <charset val="1"/>
      </rPr>
      <t xml:space="preserve">UI</t>
    </r>
    <r>
      <rPr>
        <sz val="10"/>
        <color rgb="FF253B4B"/>
        <rFont val="Noto Sans CJK SC"/>
        <family val="2"/>
      </rPr>
      <t xml:space="preserve">／前端</t>
    </r>
  </si>
  <si>
    <t xml:space="preserve">scripts/attachment-regressions-smoke.cjs</t>
  </si>
  <si>
    <t xml:space="preserve">UAT-03</t>
  </si>
  <si>
    <r>
      <rPr>
        <sz val="10"/>
        <color rgb="FF253B4B"/>
        <rFont val="Microsoft YaHei"/>
        <family val="0"/>
        <charset val="1"/>
      </rPr>
      <t xml:space="preserve">1x/2x</t>
    </r>
    <r>
      <rPr>
        <sz val="10"/>
        <color rgb="FF253B4B"/>
        <rFont val="Noto Sans CJK SC"/>
        <family val="2"/>
      </rPr>
      <t xml:space="preserve">局部验证通过</t>
    </r>
  </si>
  <si>
    <t xml:space="preserve">REQ-005</t>
  </si>
  <si>
    <t xml:space="preserve">在线权威结算</t>
  </si>
  <si>
    <t xml:space="preserve">非当前座位不能发游戏动作；过期version被拒绝；客户端不接收未来牌序。</t>
  </si>
  <si>
    <t xml:space="preserve">后端</t>
  </si>
  <si>
    <t xml:space="preserve">rooms.test.cjs</t>
  </si>
  <si>
    <t xml:space="preserve">UAT-07</t>
  </si>
  <si>
    <t xml:space="preserve">有自动化证据</t>
  </si>
  <si>
    <t xml:space="preserve">REQ-006</t>
  </si>
  <si>
    <t xml:space="preserve">持久化与恢复</t>
  </si>
  <si>
    <t xml:space="preserve">刷新／短暂断网恢复会话；未确认交易不被当作已完成。</t>
  </si>
  <si>
    <t xml:space="preserve">前后端</t>
  </si>
  <si>
    <t xml:space="preserve">scripts/online-smoke.cjs</t>
  </si>
  <si>
    <t xml:space="preserve">UAT-06</t>
  </si>
  <si>
    <t xml:space="preserve">跨版本迁移矩阵待补</t>
  </si>
  <si>
    <t xml:space="preserve">REQ-007</t>
  </si>
  <si>
    <t xml:space="preserve">无遮挡查看棋盘</t>
  </si>
  <si>
    <r>
      <rPr>
        <sz val="10"/>
        <color rgb="FF253B4B"/>
        <rFont val="Microsoft YaHei"/>
        <family val="0"/>
        <charset val="1"/>
      </rPr>
      <t xml:space="preserve">B</t>
    </r>
    <r>
      <rPr>
        <sz val="10"/>
        <color rgb="FF253B4B"/>
        <rFont val="Noto Sans CJK SC"/>
        <family val="2"/>
      </rPr>
      <t xml:space="preserve">或查看棋盘暂收卡片、报表、聊天；返回保留输入；</t>
    </r>
    <r>
      <rPr>
        <sz val="10"/>
        <color rgb="FF253B4B"/>
        <rFont val="Microsoft YaHei"/>
        <family val="0"/>
        <charset val="1"/>
      </rPr>
      <t xml:space="preserve">R/E</t>
    </r>
    <r>
      <rPr>
        <sz val="10"/>
        <color rgb="FF253B4B"/>
        <rFont val="Noto Sans CJK SC"/>
        <family val="2"/>
      </rPr>
      <t xml:space="preserve">不结算。</t>
    </r>
  </si>
  <si>
    <t xml:space="preserve">前端</t>
  </si>
  <si>
    <t xml:space="preserve">UAT-05</t>
  </si>
  <si>
    <t xml:space="preserve">REQ-008</t>
  </si>
  <si>
    <t xml:space="preserve">参考来源可追溯</t>
  </si>
  <si>
    <t xml:space="preserve">原素材、规则观察和推断分别记录；不能把模板坐标当作所有运行分支已验证。</t>
  </si>
  <si>
    <t xml:space="preserve">策划／QA</t>
  </si>
  <si>
    <t xml:space="preserve">audit/dice-layout-fixtures.json</t>
  </si>
  <si>
    <t xml:space="preserve">UAT-08</t>
  </si>
  <si>
    <t xml:space="preserve">多骰运行位置待核验</t>
  </si>
  <si>
    <t xml:space="preserve">REQ-009</t>
  </si>
  <si>
    <t xml:space="preserve">受测包可定位</t>
  </si>
  <si>
    <t xml:space="preserve">版本、代码提交、入口HTML及ZIP SHA与测试证据关联。</t>
  </si>
  <si>
    <t xml:space="preserve">发布／QA</t>
  </si>
  <si>
    <t xml:space="preserve">audit/validation-latest.json</t>
  </si>
  <si>
    <t xml:space="preserve">当前快照有记录</t>
  </si>
  <si>
    <t xml:space="preserve">REQ-010</t>
  </si>
  <si>
    <t xml:space="preserve">原版一致性范围</t>
  </si>
  <si>
    <t xml:space="preserve">版次、全部文案／规则／状态均有对照依据后才可宣布原版完全一致。</t>
  </si>
  <si>
    <t xml:space="preserve">产品／规则审阅</t>
  </si>
  <si>
    <t xml:space="preserve">audit/reference-coverage.json</t>
  </si>
  <si>
    <t xml:space="preserve">阻断：原版全等未成立</t>
  </si>
  <si>
    <t xml:space="preserve">REQ-011</t>
  </si>
  <si>
    <t xml:space="preserve">股票与借还子状态</t>
  </si>
  <si>
    <t xml:space="preserve">取消不扣款；不足现金走差额贷款；返回后的份数与债务选择符合规则。</t>
  </si>
  <si>
    <t xml:space="preserve">有局部自动化证据</t>
  </si>
  <si>
    <t xml:space="preserve">REQ-012</t>
  </si>
  <si>
    <t xml:space="preserve">快车道与破产</t>
  </si>
  <si>
    <t xml:space="preserve">税、投资检定、重整、出局和两类胜利的确认行为可恢复且不重复结算。</t>
  </si>
  <si>
    <t xml:space="preserve">规则／QA</t>
  </si>
  <si>
    <t xml:space="preserve">scripts/terminal-ui-smoke.cjs</t>
  </si>
  <si>
    <t xml:space="preserve">罕见原站分支未完整观察</t>
  </si>
  <si>
    <t xml:space="preserve">REQ-013</t>
  </si>
  <si>
    <t xml:space="preserve">声音与字体失败</t>
  </si>
  <si>
    <t xml:space="preserve">音效开关有效，字体拒绝不阻断画布；音效失败不改变规则状态。</t>
  </si>
  <si>
    <t xml:space="preserve">前端／音频</t>
  </si>
  <si>
    <t xml:space="preserve">scripts/classic-sound-smoke.cjs</t>
  </si>
  <si>
    <t xml:space="preserve">UAT-04</t>
  </si>
  <si>
    <t xml:space="preserve">REQ-014</t>
  </si>
  <si>
    <t xml:space="preserve">兼容性范围</t>
  </si>
  <si>
    <t xml:space="preserve">在确定的系统、浏览器、显示比例、文件及在线入口组合实测。</t>
  </si>
  <si>
    <t xml:space="preserve">QA</t>
  </si>
  <si>
    <r>
      <rPr>
        <sz val="10"/>
        <color rgb="FF253B4B"/>
        <rFont val="Microsoft YaHei"/>
        <family val="0"/>
        <charset val="1"/>
      </rPr>
      <t xml:space="preserve">docs/development/06-</t>
    </r>
    <r>
      <rPr>
        <sz val="10"/>
        <color rgb="FF253B4B"/>
        <rFont val="Noto Sans CJK SC"/>
        <family val="2"/>
      </rPr>
      <t xml:space="preserve">测试与质量保证</t>
    </r>
    <r>
      <rPr>
        <sz val="10"/>
        <color rgb="FF253B4B"/>
        <rFont val="Microsoft YaHei"/>
        <family val="0"/>
        <charset val="1"/>
      </rPr>
      <t xml:space="preserve">/</t>
    </r>
    <r>
      <rPr>
        <sz val="10"/>
        <color rgb="FF253B4B"/>
        <rFont val="Noto Sans CJK SC"/>
        <family val="2"/>
      </rPr>
      <t xml:space="preserve">测试策略与执行依据</t>
    </r>
    <r>
      <rPr>
        <sz val="10"/>
        <color rgb="FF253B4B"/>
        <rFont val="Microsoft YaHei"/>
        <family val="0"/>
        <charset val="1"/>
      </rPr>
      <t xml:space="preserve">.md</t>
    </r>
  </si>
  <si>
    <t xml:space="preserve">目标矩阵待评审／实测</t>
  </si>
  <si>
    <t xml:space="preserve">REQ-015</t>
  </si>
  <si>
    <t xml:space="preserve">安全边界</t>
  </si>
  <si>
    <t xml:space="preserve">验证会话、来源、参数、权限、消息长度及存档保护；不声称已过安全审计。</t>
  </si>
  <si>
    <t xml:space="preserve">后端／QA</t>
  </si>
  <si>
    <t xml:space="preserve">scripts/rooms.cjs</t>
  </si>
  <si>
    <t xml:space="preserve">局部控制已有，审计待执行</t>
  </si>
  <si>
    <t xml:space="preserve">REQ-016</t>
  </si>
  <si>
    <t xml:space="preserve">可运维与回退</t>
  </si>
  <si>
    <t xml:space="preserve">启动健康检查、磁盘备份、版本回退与迁移兼容有执行记录。</t>
  </si>
  <si>
    <t xml:space="preserve">发布／运维</t>
  </si>
  <si>
    <t xml:space="preserve">scripts/serve.cjs</t>
  </si>
  <si>
    <t xml:space="preserve">回退演练待执行</t>
  </si>
  <si>
    <t xml:space="preserve">REQ-017</t>
  </si>
  <si>
    <t xml:space="preserve">容量与性能</t>
  </si>
  <si>
    <t xml:space="preserve">基于批准的并发、响应与资源预算做负载试验；服务器数量上限不等于性能承诺。</t>
  </si>
  <si>
    <t xml:space="preserve">技术负责人／QA</t>
  </si>
  <si>
    <t xml:space="preserve">指标待批准，尚无压测结论</t>
  </si>
  <si>
    <t xml:space="preserve">REQ-018</t>
  </si>
  <si>
    <t xml:space="preserve">用户验收闭环</t>
  </si>
  <si>
    <t xml:space="preserve">指定候选包与设备，逐场景记录实测、缺陷、遗留项和签收。</t>
  </si>
  <si>
    <t xml:space="preserve">产品／用户／QA</t>
  </si>
  <si>
    <t xml:space="preserve">尚无正式最终签收</t>
  </si>
  <si>
    <t xml:space="preserve">ID</t>
  </si>
  <si>
    <t xml:space="preserve">当前事实</t>
  </si>
  <si>
    <t xml:space="preserve">处理要求</t>
  </si>
  <si>
    <t xml:space="preserve">责任角色</t>
  </si>
  <si>
    <t xml:space="preserve">DEC-01</t>
  </si>
  <si>
    <t xml:space="preserve">参考版次</t>
  </si>
  <si>
    <t xml:space="preserve">官网经典在线版与实体101不可默认等同</t>
  </si>
  <si>
    <t xml:space="preserve">确认最终比较版本和合法使用边界</t>
  </si>
  <si>
    <t xml:space="preserve">产品／策划</t>
  </si>
  <si>
    <t xml:space="preserve">待确认</t>
  </si>
  <si>
    <t xml:space="preserve">DEC-02</t>
  </si>
  <si>
    <t xml:space="preserve">黄金结算</t>
  </si>
  <si>
    <t xml:space="preserve">官网观察600；当前按10×600=6000</t>
  </si>
  <si>
    <t xml:space="preserve">选择复现网站行为或卡面计算</t>
  </si>
  <si>
    <t xml:space="preserve">规则审阅／产品</t>
  </si>
  <si>
    <t xml:space="preserve">DEC-03</t>
  </si>
  <si>
    <t xml:space="preserve">语言与视觉</t>
  </si>
  <si>
    <t xml:space="preserve">当前中文、参考站英文</t>
  </si>
  <si>
    <t xml:space="preserve">分开确认文案、布局、像素与字体目标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</si>
  <si>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／产品</t>
    </r>
  </si>
  <si>
    <t xml:space="preserve">DEC-04</t>
  </si>
  <si>
    <t xml:space="preserve">教育贷款</t>
  </si>
  <si>
    <t xml:space="preserve">参考profile初始化省略school债务</t>
  </si>
  <si>
    <t xml:space="preserve">确认兼容范围，保留旧profile区别</t>
  </si>
  <si>
    <t xml:space="preserve">规则审阅</t>
  </si>
  <si>
    <t xml:space="preserve">待核验</t>
  </si>
  <si>
    <t xml:space="preserve">DEC-05</t>
  </si>
  <si>
    <t xml:space="preserve">多骰位置</t>
  </si>
  <si>
    <t xml:space="preserve">原图与单骰模板锚点已核对，多骰居中属实现选择</t>
  </si>
  <si>
    <t xml:space="preserve">补充不同页面的原站运行坐标证据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</si>
  <si>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</si>
  <si>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DEC-06</t>
  </si>
  <si>
    <t xml:space="preserve">真实文件入口</t>
  </si>
  <si>
    <t xml:space="preserve">内嵌index已在HTTP离线路径验证，环境阻止file自动化</t>
  </si>
  <si>
    <r>
      <rPr>
        <sz val="10"/>
        <color rgb="FF253B4B"/>
        <rFont val="Microsoft YaHei"/>
        <family val="0"/>
        <charset val="1"/>
      </rPr>
      <t xml:space="preserve">Windows/Edge</t>
    </r>
    <r>
      <rPr>
        <sz val="10"/>
        <color rgb="FF253B4B"/>
        <rFont val="Noto Sans CJK SC"/>
        <family val="2"/>
      </rPr>
      <t xml:space="preserve">及</t>
    </r>
    <r>
      <rPr>
        <sz val="10"/>
        <color rgb="FF253B4B"/>
        <rFont val="Microsoft YaHei"/>
        <family val="0"/>
        <charset val="1"/>
      </rPr>
      <t xml:space="preserve">Chrome</t>
    </r>
    <r>
      <rPr>
        <sz val="10"/>
        <color rgb="FF253B4B"/>
        <rFont val="Noto Sans CJK SC"/>
        <family val="2"/>
      </rPr>
      <t xml:space="preserve">真实双击并记录</t>
    </r>
    <r>
      <rPr>
        <sz val="10"/>
        <color rgb="FF253B4B"/>
        <rFont val="Microsoft YaHei"/>
        <family val="0"/>
        <charset val="1"/>
      </rPr>
      <t xml:space="preserve">SHA</t>
    </r>
  </si>
  <si>
    <r>
      <rPr>
        <sz val="10"/>
        <color rgb="FF253B4B"/>
        <rFont val="Microsoft YaHei"/>
        <family val="0"/>
        <charset val="1"/>
      </rPr>
      <t xml:space="preserve">QA</t>
    </r>
    <r>
      <rPr>
        <sz val="10"/>
        <color rgb="FF253B4B"/>
        <rFont val="Noto Sans CJK SC"/>
        <family val="2"/>
      </rPr>
      <t xml:space="preserve">／用户</t>
    </r>
  </si>
  <si>
    <t xml:space="preserve">待执行</t>
  </si>
  <si>
    <t xml:space="preserve">DEC-07</t>
  </si>
  <si>
    <t xml:space="preserve">性能目标</t>
  </si>
  <si>
    <t xml:space="preserve">单进程Node，rooms上限200不是容量结果</t>
  </si>
  <si>
    <t xml:space="preserve">确定并发、响应延迟、存档写入预算</t>
  </si>
  <si>
    <t xml:space="preserve">技术负责人</t>
  </si>
  <si>
    <t xml:space="preserve">待评审</t>
  </si>
  <si>
    <t xml:space="preserve">DEC-08</t>
  </si>
  <si>
    <t xml:space="preserve">最终签收</t>
  </si>
  <si>
    <t xml:space="preserve">已有353单测、27浏览器检查；无正式UAT批准</t>
  </si>
  <si>
    <t xml:space="preserve">产品、规则审阅与用户签收具体候选包</t>
  </si>
  <si>
    <t xml:space="preserve">产品／用户</t>
  </si>
  <si>
    <t xml:space="preserve">DEC-09</t>
  </si>
  <si>
    <t xml:space="preserve">快车道发薪口径</t>
  </si>
  <si>
    <r>
      <rPr>
        <sz val="10"/>
        <rFont val="Noto Sans CJK SC"/>
        <family val="2"/>
      </rPr>
      <t xml:space="preserve">当前参考</t>
    </r>
    <r>
      <rPr>
        <sz val="10"/>
        <rFont val="Microsoft YaHei"/>
        <family val="0"/>
        <charset val="1"/>
      </rPr>
      <t xml:space="preserve">profile</t>
    </r>
    <r>
      <rPr>
        <sz val="10"/>
        <rFont val="Noto Sans CJK SC"/>
        <family val="2"/>
      </rPr>
      <t xml:space="preserve">发薪包含内圈</t>
    </r>
    <r>
      <rPr>
        <sz val="10"/>
        <rFont val="Microsoft YaHei"/>
        <family val="0"/>
        <charset val="1"/>
      </rPr>
      <t xml:space="preserve">salary − ratExpenses</t>
    </r>
    <r>
      <rPr>
        <sz val="10"/>
        <rFont val="Noto Sans CJK SC"/>
        <family val="2"/>
      </rPr>
      <t xml:space="preserve">；报表收入仅</t>
    </r>
    <r>
      <rPr>
        <sz val="10"/>
        <rFont val="Microsoft YaHei"/>
        <family val="0"/>
        <charset val="1"/>
      </rPr>
      <t xml:space="preserve">fastBase + fastGain</t>
    </r>
  </si>
  <si>
    <t xml:space="preserve">对照原版实际发薪，确认目标口径后再决定是否改规则</t>
  </si>
  <si>
    <t xml:space="preserve">记录序号</t>
  </si>
  <si>
    <t xml:space="preserve">id</t>
  </si>
  <si>
    <t xml:space="preserve">name</t>
  </si>
  <si>
    <t xml:space="preserve">english</t>
  </si>
  <si>
    <t xml:space="preserve">salary</t>
  </si>
  <si>
    <t xml:space="preserve">tax</t>
  </si>
  <si>
    <t xml:space="preserve">homePayment</t>
  </si>
  <si>
    <t xml:space="preserve">schoolPayment</t>
  </si>
  <si>
    <t xml:space="preserve">carPayment</t>
  </si>
  <si>
    <t xml:space="preserve">creditPayment</t>
  </si>
  <si>
    <t xml:space="preserve">retailPayment</t>
  </si>
  <si>
    <t xml:space="preserve">other</t>
  </si>
  <si>
    <t xml:space="preserve">savings</t>
  </si>
  <si>
    <t xml:space="preserve">childCost</t>
  </si>
  <si>
    <t xml:space="preserve">homeDebt</t>
  </si>
  <si>
    <t xml:space="preserve">schoolDebt</t>
  </si>
  <si>
    <t xml:space="preserve">carDebt</t>
  </si>
  <si>
    <t xml:space="preserve">creditDebt</t>
  </si>
  <si>
    <t xml:space="preserve">retailDebt</t>
  </si>
  <si>
    <t xml:space="preserve">Teacher (K-12)</t>
  </si>
  <si>
    <t xml:space="preserve">Nurse</t>
  </si>
  <si>
    <t xml:space="preserve">Police Officer</t>
  </si>
  <si>
    <t xml:space="preserve">Mechanic</t>
  </si>
  <si>
    <t xml:space="preserve">Truck Driver</t>
  </si>
  <si>
    <t xml:space="preserve">Secretary</t>
  </si>
  <si>
    <t xml:space="preserve">Engineer</t>
  </si>
  <si>
    <t xml:space="preserve">Lawyer</t>
  </si>
  <si>
    <t xml:space="preserve">Doctor (MD)</t>
  </si>
  <si>
    <t xml:space="preserve">Airline Pilot</t>
  </si>
  <si>
    <t xml:space="preserve">Business Manager</t>
  </si>
  <si>
    <t xml:space="preserve">Janitor</t>
  </si>
  <si>
    <t xml:space="preserve">sourceId</t>
  </si>
  <si>
    <t xml:space="preserve">anyoneBuy</t>
  </si>
  <si>
    <t xml:space="preserve">key</t>
  </si>
  <si>
    <t xml:space="preserve">type</t>
  </si>
  <si>
    <t xml:space="preserve">units</t>
  </si>
  <si>
    <t xml:space="preserve">symbol</t>
  </si>
  <si>
    <t xml:space="preserve">price</t>
  </si>
  <si>
    <t xml:space="preserve">dividend</t>
  </si>
  <si>
    <t xml:space="preserve">rangeMin</t>
  </si>
  <si>
    <t xml:space="preserve">rangeMax</t>
  </si>
  <si>
    <t xml:space="preserve">down</t>
  </si>
  <si>
    <t xml:space="preserve">value</t>
  </si>
  <si>
    <t xml:space="preserve">debt</t>
  </si>
  <si>
    <t xml:space="preserve">income</t>
  </si>
  <si>
    <t xml:space="preserve">factor</t>
  </si>
  <si>
    <t xml:space="preserve">small.0</t>
  </si>
  <si>
    <t xml:space="preserve">银行存单</t>
  </si>
  <si>
    <t xml:space="preserve">CD</t>
  </si>
  <si>
    <t xml:space="preserve">stock</t>
  </si>
  <si>
    <t xml:space="preserve">small.1</t>
  </si>
  <si>
    <t xml:space="preserve">small.2</t>
  </si>
  <si>
    <r>
      <rPr>
        <sz val="10"/>
        <color rgb="FF253B4B"/>
        <rFont val="Microsoft YaHei"/>
        <family val="0"/>
        <charset val="1"/>
      </rPr>
      <t xml:space="preserve">2BIG </t>
    </r>
    <r>
      <rPr>
        <sz val="10"/>
        <color rgb="FF253B4B"/>
        <rFont val="Noto Sans CJK SC"/>
        <family val="2"/>
      </rPr>
      <t xml:space="preserve">电力优先股</t>
    </r>
  </si>
  <si>
    <t xml:space="preserve">2BIG</t>
  </si>
  <si>
    <t xml:space="preserve">small.3</t>
  </si>
  <si>
    <t xml:space="preserve">small.4</t>
  </si>
  <si>
    <t xml:space="preserve">零件创业公司</t>
  </si>
  <si>
    <t xml:space="preserve">widget</t>
  </si>
  <si>
    <t xml:space="preserve">business</t>
  </si>
  <si>
    <t xml:space="preserve">small.5</t>
  </si>
  <si>
    <t xml:space="preserve">软件创业公司</t>
  </si>
  <si>
    <t xml:space="preserve">software</t>
  </si>
  <si>
    <t xml:space="preserve">small.6</t>
  </si>
  <si>
    <r>
      <rPr>
        <sz val="10"/>
        <color rgb="FF253B4B"/>
        <rFont val="Microsoft YaHei"/>
        <family val="0"/>
        <charset val="1"/>
      </rPr>
      <t xml:space="preserve">OK4U </t>
    </r>
    <r>
      <rPr>
        <sz val="10"/>
        <color rgb="FF253B4B"/>
        <rFont val="Noto Sans CJK SC"/>
        <family val="2"/>
      </rPr>
      <t xml:space="preserve">制药公司</t>
    </r>
  </si>
  <si>
    <t xml:space="preserve">OK4U</t>
  </si>
  <si>
    <t xml:space="preserve">split</t>
  </si>
  <si>
    <t xml:space="preserve">small.7</t>
  </si>
  <si>
    <t xml:space="preserve">small.8</t>
  </si>
  <si>
    <r>
      <rPr>
        <sz val="10"/>
        <color rgb="FF253B4B"/>
        <rFont val="Microsoft YaHei"/>
        <family val="0"/>
        <charset val="1"/>
      </rPr>
      <t xml:space="preserve">MYT4U </t>
    </r>
    <r>
      <rPr>
        <sz val="10"/>
        <color rgb="FF253B4B"/>
        <rFont val="Noto Sans CJK SC"/>
        <family val="2"/>
      </rPr>
      <t xml:space="preserve">电子公司</t>
    </r>
  </si>
  <si>
    <t xml:space="preserve">MYT4U</t>
  </si>
  <si>
    <t xml:space="preserve">small.9</t>
  </si>
  <si>
    <t xml:space="preserve">small.10</t>
  </si>
  <si>
    <r>
      <rPr>
        <sz val="10"/>
        <color rgb="FF253B4B"/>
        <rFont val="Microsoft YaHei"/>
        <family val="0"/>
        <charset val="1"/>
      </rPr>
      <t xml:space="preserve">ON2U </t>
    </r>
    <r>
      <rPr>
        <sz val="10"/>
        <color rgb="FF253B4B"/>
        <rFont val="Noto Sans CJK SC"/>
        <family val="2"/>
      </rPr>
      <t xml:space="preserve">娱乐公司</t>
    </r>
  </si>
  <si>
    <t xml:space="preserve">ON2U</t>
  </si>
  <si>
    <t xml:space="preserve">small.11</t>
  </si>
  <si>
    <t xml:space="preserve">small.12</t>
  </si>
  <si>
    <t xml:space="preserve">small.13</t>
  </si>
  <si>
    <t xml:space="preserve">small.14</t>
  </si>
  <si>
    <t xml:space="preserve">small.15</t>
  </si>
  <si>
    <t xml:space="preserve">small.16</t>
  </si>
  <si>
    <t xml:space="preserve">small.17</t>
  </si>
  <si>
    <t xml:space="preserve">small.18</t>
  </si>
  <si>
    <t xml:space="preserve">small.19</t>
  </si>
  <si>
    <t xml:space="preserve">small.20</t>
  </si>
  <si>
    <t xml:space="preserve">small.21</t>
  </si>
  <si>
    <t xml:space="preserve">small.22</t>
  </si>
  <si>
    <t xml:space="preserve">small.23</t>
  </si>
  <si>
    <t xml:space="preserve">small.24</t>
  </si>
  <si>
    <t xml:space="preserve">small.25</t>
  </si>
  <si>
    <t xml:space="preserve">small.26</t>
  </si>
  <si>
    <t xml:space="preserve">small.27</t>
  </si>
  <si>
    <t xml:space="preserve">small.28</t>
  </si>
  <si>
    <t xml:space="preserve">small.29</t>
  </si>
  <si>
    <t xml:space="preserve">small.30</t>
  </si>
  <si>
    <t xml:space="preserve">small.31</t>
  </si>
  <si>
    <t xml:space="preserve">small.32</t>
  </si>
  <si>
    <t xml:space="preserve">small.33</t>
  </si>
  <si>
    <t xml:space="preserve">small.34</t>
  </si>
  <si>
    <r>
      <rPr>
        <sz val="10"/>
        <color rgb="FF253B4B"/>
        <rFont val="Microsoft YaHei"/>
        <family val="0"/>
        <charset val="1"/>
      </rPr>
      <t xml:space="preserve">GRO4US </t>
    </r>
    <r>
      <rPr>
        <sz val="10"/>
        <color rgb="FF253B4B"/>
        <rFont val="Noto Sans CJK SC"/>
        <family val="2"/>
      </rPr>
      <t xml:space="preserve">共同基金</t>
    </r>
  </si>
  <si>
    <t xml:space="preserve">GRO4US</t>
  </si>
  <si>
    <t xml:space="preserve">small.35</t>
  </si>
  <si>
    <t xml:space="preserve">small.36</t>
  </si>
  <si>
    <t xml:space="preserve">small.37</t>
  </si>
  <si>
    <t xml:space="preserve">small.38</t>
  </si>
  <si>
    <t xml:space="preserve">small.39</t>
  </si>
  <si>
    <t xml:space="preserve">亲属借款</t>
  </si>
  <si>
    <t xml:space="preserve">misc</t>
  </si>
  <si>
    <t xml:space="preserve">collectible</t>
  </si>
  <si>
    <t xml:space="preserve">small.40</t>
  </si>
  <si>
    <r>
      <rPr>
        <sz val="10"/>
        <color rgb="FF253B4B"/>
        <rFont val="Microsoft YaHei"/>
        <family val="0"/>
        <charset val="1"/>
      </rPr>
      <t xml:space="preserve">10 </t>
    </r>
    <r>
      <rPr>
        <sz val="10"/>
        <color rgb="FF253B4B"/>
        <rFont val="Noto Sans CJK SC"/>
        <family val="2"/>
      </rPr>
      <t xml:space="preserve">英亩土地</t>
    </r>
  </si>
  <si>
    <t xml:space="preserve">10ACRES</t>
  </si>
  <si>
    <t xml:space="preserve">small.41</t>
  </si>
  <si>
    <r>
      <rPr>
        <sz val="10"/>
        <color rgb="FF253B4B"/>
        <rFont val="Microsoft YaHei"/>
        <family val="0"/>
        <charset val="1"/>
      </rPr>
      <t xml:space="preserve">10 </t>
    </r>
    <r>
      <rPr>
        <sz val="10"/>
        <color rgb="FF253B4B"/>
        <rFont val="Noto Sans CJK SC"/>
        <family val="2"/>
      </rPr>
      <t xml:space="preserve">枚金币</t>
    </r>
  </si>
  <si>
    <t xml:space="preserve">gold</t>
  </si>
  <si>
    <t xml:space="preserve">small.42</t>
  </si>
  <si>
    <t xml:space="preserve">稀有金币</t>
  </si>
  <si>
    <t xml:space="preserve">coin</t>
  </si>
  <si>
    <t xml:space="preserve">small.43</t>
  </si>
  <si>
    <t xml:space="preserve">三卧室两卫住宅</t>
  </si>
  <si>
    <t xml:space="preserve">3/2HOUSE</t>
  </si>
  <si>
    <t xml:space="preserve">property</t>
  </si>
  <si>
    <t xml:space="preserve">small.44</t>
  </si>
  <si>
    <t xml:space="preserve">small.45</t>
  </si>
  <si>
    <t xml:space="preserve">两卧室一卫公寓</t>
  </si>
  <si>
    <t xml:space="preserve">2/1CONDO</t>
  </si>
  <si>
    <t xml:space="preserve">small.46</t>
  </si>
  <si>
    <t xml:space="preserve">small.47</t>
  </si>
  <si>
    <t xml:space="preserve">small.48</t>
  </si>
  <si>
    <t xml:space="preserve">small.49</t>
  </si>
  <si>
    <t xml:space="preserve">small.50</t>
  </si>
  <si>
    <t xml:space="preserve">small.51</t>
  </si>
  <si>
    <t xml:space="preserve">small.52</t>
  </si>
  <si>
    <t xml:space="preserve">small.53</t>
  </si>
  <si>
    <t xml:space="preserve">small.54</t>
  </si>
  <si>
    <t xml:space="preserve">big.0</t>
  </si>
  <si>
    <t xml:space="preserve">有限合伙投资</t>
  </si>
  <si>
    <t xml:space="preserve">PARTNER</t>
  </si>
  <si>
    <t xml:space="preserve">big.1</t>
  </si>
  <si>
    <t xml:space="preserve">big.2</t>
  </si>
  <si>
    <t xml:space="preserve">big.3</t>
  </si>
  <si>
    <t xml:space="preserve">big.4</t>
  </si>
  <si>
    <t xml:space="preserve">公用电话业务</t>
  </si>
  <si>
    <t xml:space="preserve">PHONE</t>
  </si>
  <si>
    <t xml:space="preserve">big.5</t>
  </si>
  <si>
    <t xml:space="preserve">自助洗衣店</t>
  </si>
  <si>
    <t xml:space="preserve">LAUNDRY</t>
  </si>
  <si>
    <t xml:space="preserve">big.6</t>
  </si>
  <si>
    <t xml:space="preserve">洗车业务</t>
  </si>
  <si>
    <t xml:space="preserve">CARWASH</t>
  </si>
  <si>
    <t xml:space="preserve">big.7</t>
  </si>
  <si>
    <t xml:space="preserve">游戏厅</t>
  </si>
  <si>
    <t xml:space="preserve">ARCADE</t>
  </si>
  <si>
    <t xml:space="preserve">big.8</t>
  </si>
  <si>
    <t xml:space="preserve">披萨店</t>
  </si>
  <si>
    <t xml:space="preserve">PIZZA</t>
  </si>
  <si>
    <t xml:space="preserve">big.9</t>
  </si>
  <si>
    <t xml:space="preserve">big.10</t>
  </si>
  <si>
    <t xml:space="preserve">民宿</t>
  </si>
  <si>
    <t xml:space="preserve">BED</t>
  </si>
  <si>
    <t xml:space="preserve">big.11</t>
  </si>
  <si>
    <t xml:space="preserve">购物中心股份</t>
  </si>
  <si>
    <t xml:space="preserve">MALL</t>
  </si>
  <si>
    <t xml:space="preserve">big.12</t>
  </si>
  <si>
    <r>
      <rPr>
        <sz val="10"/>
        <color rgb="FF253B4B"/>
        <rFont val="Microsoft YaHei"/>
        <family val="0"/>
        <charset val="1"/>
      </rPr>
      <t xml:space="preserve">20 </t>
    </r>
    <r>
      <rPr>
        <sz val="10"/>
        <color rgb="FF253B4B"/>
        <rFont val="Noto Sans CJK SC"/>
        <family val="2"/>
      </rPr>
      <t xml:space="preserve">英亩土地</t>
    </r>
  </si>
  <si>
    <t xml:space="preserve">20ACRES</t>
  </si>
  <si>
    <t xml:space="preserve">big.13</t>
  </si>
  <si>
    <t xml:space="preserve">big.14</t>
  </si>
  <si>
    <t xml:space="preserve">big.15</t>
  </si>
  <si>
    <t xml:space="preserve">big.16</t>
  </si>
  <si>
    <t xml:space="preserve">big.17</t>
  </si>
  <si>
    <t xml:space="preserve">big.18</t>
  </si>
  <si>
    <t xml:space="preserve">big.19</t>
  </si>
  <si>
    <t xml:space="preserve">big.20</t>
  </si>
  <si>
    <t xml:space="preserve">big.21</t>
  </si>
  <si>
    <t xml:space="preserve">出租公寓楼</t>
  </si>
  <si>
    <t xml:space="preserve">APTHOUSE</t>
  </si>
  <si>
    <t xml:space="preserve">big.22</t>
  </si>
  <si>
    <t xml:space="preserve">big.23</t>
  </si>
  <si>
    <t xml:space="preserve">big.24</t>
  </si>
  <si>
    <t xml:space="preserve">big.25</t>
  </si>
  <si>
    <t xml:space="preserve">多户出租住宅</t>
  </si>
  <si>
    <t xml:space="preserve">PLEX</t>
  </si>
  <si>
    <t xml:space="preserve">big.26</t>
  </si>
  <si>
    <t xml:space="preserve">big.27</t>
  </si>
  <si>
    <t xml:space="preserve">big.28</t>
  </si>
  <si>
    <t xml:space="preserve">big.29</t>
  </si>
  <si>
    <t xml:space="preserve">big.30</t>
  </si>
  <si>
    <t xml:space="preserve">big.31</t>
  </si>
  <si>
    <t xml:space="preserve">big.32</t>
  </si>
  <si>
    <t xml:space="preserve">big.33</t>
  </si>
  <si>
    <t xml:space="preserve">big.34</t>
  </si>
  <si>
    <t xml:space="preserve">big.35</t>
  </si>
  <si>
    <t xml:space="preserve">big.36</t>
  </si>
  <si>
    <t xml:space="preserve">big.37</t>
  </si>
  <si>
    <t xml:space="preserve">big.38</t>
  </si>
  <si>
    <t xml:space="preserve">big.39</t>
  </si>
  <si>
    <t xml:space="preserve">mode</t>
  </si>
  <si>
    <t xml:space="preserve">global</t>
  </si>
  <si>
    <t xml:space="preserve">amount</t>
  </si>
  <si>
    <t xml:space="preserve">minUnits</t>
  </si>
  <si>
    <t xml:space="preserve">market.0</t>
  </si>
  <si>
    <t xml:space="preserve">sell</t>
  </si>
  <si>
    <t xml:space="preserve">market.1</t>
  </si>
  <si>
    <t xml:space="preserve">market.2</t>
  </si>
  <si>
    <t xml:space="preserve">market.3</t>
  </si>
  <si>
    <t xml:space="preserve">market.4</t>
  </si>
  <si>
    <t xml:space="preserve">market.5</t>
  </si>
  <si>
    <t xml:space="preserve">market.6</t>
  </si>
  <si>
    <t xml:space="preserve">market.7</t>
  </si>
  <si>
    <t xml:space="preserve">market.8</t>
  </si>
  <si>
    <t xml:space="preserve">market.9</t>
  </si>
  <si>
    <t xml:space="preserve">market.10</t>
  </si>
  <si>
    <t xml:space="preserve">market.11</t>
  </si>
  <si>
    <t xml:space="preserve">market.12</t>
  </si>
  <si>
    <t xml:space="preserve">market.13</t>
  </si>
  <si>
    <t xml:space="preserve">market.14</t>
  </si>
  <si>
    <t xml:space="preserve">market.15</t>
  </si>
  <si>
    <t xml:space="preserve">market.16</t>
  </si>
  <si>
    <t xml:space="preserve">market.17</t>
  </si>
  <si>
    <t xml:space="preserve">market.18</t>
  </si>
  <si>
    <t xml:space="preserve">market.19</t>
  </si>
  <si>
    <t xml:space="preserve">market.20</t>
  </si>
  <si>
    <t xml:space="preserve">market.21</t>
  </si>
  <si>
    <t xml:space="preserve">market.22</t>
  </si>
  <si>
    <t xml:space="preserve">market.23</t>
  </si>
  <si>
    <t xml:space="preserve">market.24</t>
  </si>
  <si>
    <t xml:space="preserve">market.25</t>
  </si>
  <si>
    <t xml:space="preserve">startup</t>
  </si>
  <si>
    <t xml:space="preserve">250</t>
  </si>
  <si>
    <t xml:space="preserve">market.26</t>
  </si>
  <si>
    <t xml:space="preserve">400</t>
  </si>
  <si>
    <t xml:space="preserve">market.27</t>
  </si>
  <si>
    <t xml:space="preserve">lose</t>
  </si>
  <si>
    <t xml:space="preserve">market.28</t>
  </si>
  <si>
    <t xml:space="preserve">selladd</t>
  </si>
  <si>
    <t xml:space="preserve">market.29</t>
  </si>
  <si>
    <t xml:space="preserve">sellmultiply</t>
  </si>
  <si>
    <t xml:space="preserve">market.30</t>
  </si>
  <si>
    <t xml:space="preserve">market.31</t>
  </si>
  <si>
    <t xml:space="preserve">market.32</t>
  </si>
  <si>
    <t xml:space="preserve">fee</t>
  </si>
  <si>
    <t xml:space="preserve">rental</t>
  </si>
  <si>
    <t xml:space="preserve">market.33</t>
  </si>
  <si>
    <t xml:space="preserve">market.34</t>
  </si>
  <si>
    <t xml:space="preserve">8PLEX</t>
  </si>
  <si>
    <t xml:space="preserve">market.35</t>
  </si>
  <si>
    <t xml:space="preserve">market.36</t>
  </si>
  <si>
    <t xml:space="preserve">market.37</t>
  </si>
  <si>
    <t xml:space="preserve">market.38</t>
  </si>
  <si>
    <t xml:space="preserve">market.39</t>
  </si>
  <si>
    <t xml:space="preserve">market.40</t>
  </si>
  <si>
    <t xml:space="preserve">market.41</t>
  </si>
  <si>
    <t xml:space="preserve">market.42</t>
  </si>
  <si>
    <t xml:space="preserve">market.43</t>
  </si>
  <si>
    <t xml:space="preserve">market.44</t>
  </si>
  <si>
    <t xml:space="preserve">brother</t>
  </si>
  <si>
    <t xml:space="preserve">cost</t>
  </si>
  <si>
    <t xml:space="preserve">child</t>
  </si>
  <si>
    <t xml:space="preserve">payment</t>
  </si>
  <si>
    <t xml:space="preserve">doodad.0</t>
  </si>
  <si>
    <t xml:space="preserve">朋友聚餐</t>
  </si>
  <si>
    <t xml:space="preserve">doodad.1</t>
  </si>
  <si>
    <t xml:space="preserve">赌场消费</t>
  </si>
  <si>
    <t xml:space="preserve">doodad.2</t>
  </si>
  <si>
    <t xml:space="preserve">税务审计</t>
  </si>
  <si>
    <t xml:space="preserve">doodad.3</t>
  </si>
  <si>
    <t xml:space="preserve">粉刷住宅</t>
  </si>
  <si>
    <t xml:space="preserve">doodad.4</t>
  </si>
  <si>
    <t xml:space="preserve">购买音响</t>
  </si>
  <si>
    <t xml:space="preserve">doodad.5</t>
  </si>
  <si>
    <t xml:space="preserve">购买手机</t>
  </si>
  <si>
    <t xml:space="preserve">doodad.6</t>
  </si>
  <si>
    <t xml:space="preserve">购买音乐唱片</t>
  </si>
  <si>
    <t xml:space="preserve">doodad.7</t>
  </si>
  <si>
    <t xml:space="preserve">请朋友喝咖啡</t>
  </si>
  <si>
    <t xml:space="preserve">doodad.8</t>
  </si>
  <si>
    <t xml:space="preserve">打两轮高尔夫</t>
  </si>
  <si>
    <t xml:space="preserve">doodad.9</t>
  </si>
  <si>
    <t xml:space="preserve">观看球赛</t>
  </si>
  <si>
    <t xml:space="preserve">doodad.10</t>
  </si>
  <si>
    <t xml:space="preserve">购买手表</t>
  </si>
  <si>
    <t xml:space="preserve">doodad.11</t>
  </si>
  <si>
    <t xml:space="preserve">购买保龄球</t>
  </si>
  <si>
    <t xml:space="preserve">doodad.12</t>
  </si>
  <si>
    <t xml:space="preserve">外出晚餐</t>
  </si>
  <si>
    <t xml:space="preserve">doodad.13</t>
  </si>
  <si>
    <t xml:space="preserve">购买彩票</t>
  </si>
  <si>
    <t xml:space="preserve">doodad.14</t>
  </si>
  <si>
    <t xml:space="preserve">家具促销</t>
  </si>
  <si>
    <t xml:space="preserve">doodad.15</t>
  </si>
  <si>
    <t xml:space="preserve">购买画作</t>
  </si>
  <si>
    <t xml:space="preserve">doodad.16</t>
  </si>
  <si>
    <t xml:space="preserve">汽车空调维修</t>
  </si>
  <si>
    <t xml:space="preserve">doodad.17</t>
  </si>
  <si>
    <t xml:space="preserve">更换汽车轮胎</t>
  </si>
  <si>
    <t xml:space="preserve">doodad.18</t>
  </si>
  <si>
    <t xml:space="preserve">购买太阳镜</t>
  </si>
  <si>
    <t xml:space="preserve">doodad.19</t>
  </si>
  <si>
    <t xml:space="preserve">结婚纪念日</t>
  </si>
  <si>
    <t xml:space="preserve">doodad.20</t>
  </si>
  <si>
    <t xml:space="preserve">家庭度假</t>
  </si>
  <si>
    <t xml:space="preserve">doodad.21</t>
  </si>
  <si>
    <t xml:space="preserve">购买鱼竿</t>
  </si>
  <si>
    <t xml:space="preserve">doodad.22</t>
  </si>
  <si>
    <t xml:space="preserve">观看航展</t>
  </si>
  <si>
    <t xml:space="preserve">doodad.23</t>
  </si>
  <si>
    <t xml:space="preserve">购买衣服</t>
  </si>
  <si>
    <t xml:space="preserve">doodad.24</t>
  </si>
  <si>
    <t xml:space="preserve">进修学习</t>
  </si>
  <si>
    <t xml:space="preserve">doodad.25</t>
  </si>
  <si>
    <t xml:space="preserve">高中同学聚会</t>
  </si>
  <si>
    <t xml:space="preserve">doodad.26</t>
  </si>
  <si>
    <t xml:space="preserve">观看演唱会</t>
  </si>
  <si>
    <t xml:space="preserve">doodad.27</t>
  </si>
  <si>
    <t xml:space="preserve">购买高尔夫球</t>
  </si>
  <si>
    <t xml:space="preserve">doodad.28</t>
  </si>
  <si>
    <t xml:space="preserve">牙医账单</t>
  </si>
  <si>
    <t xml:space="preserve">doodad.29</t>
  </si>
  <si>
    <t xml:space="preserve">购买咖啡机</t>
  </si>
  <si>
    <t xml:space="preserve">doodad.30</t>
  </si>
  <si>
    <t xml:space="preserve">购买料理机</t>
  </si>
  <si>
    <t xml:space="preserve">doodad.31</t>
  </si>
  <si>
    <t xml:space="preserve">购买网球拍</t>
  </si>
  <si>
    <t xml:space="preserve">doodad.32</t>
  </si>
  <si>
    <t xml:space="preserve">购物</t>
  </si>
  <si>
    <t xml:space="preserve">doodad.33</t>
  </si>
  <si>
    <t xml:space="preserve">违章停车罚款</t>
  </si>
  <si>
    <t xml:space="preserve">doodad.34</t>
  </si>
  <si>
    <t xml:space="preserve">更换热水器</t>
  </si>
  <si>
    <t xml:space="preserve">doodad.35</t>
  </si>
  <si>
    <t xml:space="preserve">子女大学学费</t>
  </si>
  <si>
    <t xml:space="preserve">has</t>
  </si>
  <si>
    <t xml:space="preserve">doodad.36</t>
  </si>
  <si>
    <t xml:space="preserve">子女生日派对</t>
  </si>
  <si>
    <t xml:space="preserve">doodad.37</t>
  </si>
  <si>
    <t xml:space="preserve">子女牙齿矫正</t>
  </si>
  <si>
    <t xml:space="preserve">doodad.38</t>
  </si>
  <si>
    <t xml:space="preserve">女儿婚礼</t>
  </si>
  <si>
    <t xml:space="preserve">doodad.39</t>
  </si>
  <si>
    <t xml:space="preserve">购买儿童玩具</t>
  </si>
  <si>
    <t xml:space="preserve">per</t>
  </si>
  <si>
    <t xml:space="preserve">doodad.40</t>
  </si>
  <si>
    <t xml:space="preserve">购买大屏电视</t>
  </si>
  <si>
    <t xml:space="preserve">doodad.41</t>
  </si>
  <si>
    <t xml:space="preserve">购买新游艇</t>
  </si>
  <si>
    <t xml:space="preserve">position</t>
  </si>
  <si>
    <t xml:space="preserve">icon</t>
  </si>
  <si>
    <t xml:space="preserve">artKey</t>
  </si>
  <si>
    <t xml:space="preserve">儿童投资学校</t>
  </si>
  <si>
    <t xml:space="preserve">☆</t>
  </si>
  <si>
    <t xml:space="preserve">stock_market_for_kids</t>
  </si>
  <si>
    <t xml:space="preserve">帆船比赛</t>
  </si>
  <si>
    <t xml:space="preserve">yacht_racing</t>
  </si>
  <si>
    <t xml:space="preserve">戛纳电影节</t>
  </si>
  <si>
    <t xml:space="preserve">cannes_film_festival</t>
  </si>
  <si>
    <t xml:space="preserve">蒙大拿湖畔钓鱼小屋</t>
  </si>
  <si>
    <t xml:space="preserve">private_fishing_cabin_on_a_montana_lake</t>
  </si>
  <si>
    <t xml:space="preserve">以你命名的公园</t>
  </si>
  <si>
    <t xml:space="preserve">park_named_after_you</t>
  </si>
  <si>
    <t xml:space="preserve">竞选市长</t>
  </si>
  <si>
    <t xml:space="preserve">run_for_mayor</t>
  </si>
  <si>
    <t xml:space="preserve">支持信仰事业</t>
  </si>
  <si>
    <t xml:space="preserve">gift_of_faith</t>
  </si>
  <si>
    <t xml:space="preserve">阿尔卑斯直升机滑雪</t>
  </si>
  <si>
    <t xml:space="preserve">heli_ski_the_swiss_alps</t>
  </si>
  <si>
    <t xml:space="preserve">与总统共进晚餐</t>
  </si>
  <si>
    <t xml:space="preserve">dinner_with_the_president</t>
  </si>
  <si>
    <t xml:space="preserve">癌症与艾滋病研究中心</t>
  </si>
  <si>
    <t xml:space="preserve">research_center_for_cancer_and_aids</t>
  </si>
  <si>
    <t xml:space="preserve">游览世界七大奇迹</t>
  </si>
  <si>
    <t xml:space="preserve">7_wonders_of_the_world</t>
  </si>
  <si>
    <t xml:space="preserve">保护海洋哺乳动物</t>
  </si>
  <si>
    <t xml:space="preserve">save_the_ocean_mammals</t>
  </si>
  <si>
    <t xml:space="preserve">私人飞机旅行</t>
  </si>
  <si>
    <t xml:space="preserve">be_a__jet_setter_</t>
  </si>
  <si>
    <t xml:space="preserve">环球高尔夫之旅</t>
  </si>
  <si>
    <t xml:space="preserve">golf_around_the_world</t>
  </si>
  <si>
    <t xml:space="preserve">儿童图书馆</t>
  </si>
  <si>
    <t xml:space="preserve">a_kids_library</t>
  </si>
  <si>
    <t xml:space="preserve">南太平洋海岛假期</t>
  </si>
  <si>
    <t xml:space="preserve">south_sea_island_fantasy</t>
  </si>
  <si>
    <t xml:space="preserve">创业者和平服务团</t>
  </si>
  <si>
    <t xml:space="preserve">capitalists_peace_corps</t>
  </si>
  <si>
    <t xml:space="preserve">地中海邮轮旅行</t>
  </si>
  <si>
    <t xml:space="preserve">cruise_the_mediterranean</t>
  </si>
  <si>
    <t xml:space="preserve">城市迷你农场</t>
  </si>
  <si>
    <t xml:space="preserve">mini_farm_in_the_city</t>
  </si>
  <si>
    <t xml:space="preserve">非洲摄影之旅</t>
  </si>
  <si>
    <t xml:space="preserve">african_photo_safari</t>
  </si>
  <si>
    <t xml:space="preserve">购买森林</t>
  </si>
  <si>
    <t xml:space="preserve">buy_a_forest</t>
  </si>
  <si>
    <t xml:space="preserve">职业球队贵宾包厢</t>
  </si>
  <si>
    <t xml:space="preserve">pro_team_box_seats</t>
  </si>
  <si>
    <t xml:space="preserve">亚洲古城之旅</t>
  </si>
  <si>
    <t xml:space="preserve">ancient_asian_cities</t>
  </si>
  <si>
    <t xml:space="preserve">rollmin</t>
  </si>
  <si>
    <t xml:space="preserve">reward</t>
  </si>
  <si>
    <t xml:space="preserve">dream</t>
  </si>
  <si>
    <t xml:space="preserve">charity</t>
  </si>
  <si>
    <t xml:space="preserve">慈善</t>
  </si>
  <si>
    <t xml:space="preserve">暖通空调服务</t>
  </si>
  <si>
    <t xml:space="preserve">heat_and_a_c_service</t>
  </si>
  <si>
    <t xml:space="preserve">卡车配件工厂</t>
  </si>
  <si>
    <t xml:space="preserve">truck_parts_maker</t>
  </si>
  <si>
    <t xml:space="preserve">payday</t>
  </si>
  <si>
    <t xml:space="preserve">现金流日</t>
  </si>
  <si>
    <t xml:space="preserve">收购金矿</t>
  </si>
  <si>
    <t xml:space="preserve">buy_a_gold_mine</t>
  </si>
  <si>
    <t xml:space="preserve">炸鸡连锁店</t>
  </si>
  <si>
    <t xml:space="preserve">chicken_franchise</t>
  </si>
  <si>
    <t xml:space="preserve">美容院</t>
  </si>
  <si>
    <t xml:space="preserve">beauty_salons</t>
  </si>
  <si>
    <t xml:space="preserve">汽车维修店</t>
  </si>
  <si>
    <t xml:space="preserve">auto_repair_shop</t>
  </si>
  <si>
    <t xml:space="preserve">俄罗斯石油项目</t>
  </si>
  <si>
    <t xml:space="preserve">russian_oil_deal</t>
  </si>
  <si>
    <r>
      <rPr>
        <sz val="10"/>
        <color rgb="FF253B4B"/>
        <rFont val="Microsoft YaHei"/>
        <family val="0"/>
        <charset val="1"/>
      </rPr>
      <t xml:space="preserve">T </t>
    </r>
    <r>
      <rPr>
        <sz val="10"/>
        <color rgb="FF253B4B"/>
        <rFont val="Noto Sans CJK SC"/>
        <family val="2"/>
      </rPr>
      <t xml:space="preserve">恤连锁店</t>
    </r>
  </si>
  <si>
    <t xml:space="preserve">t_shirt_stores</t>
  </si>
  <si>
    <t xml:space="preserve">软件公司上市</t>
  </si>
  <si>
    <t xml:space="preserve">software_co._ipo</t>
  </si>
  <si>
    <t xml:space="preserve">divorce</t>
  </si>
  <si>
    <t xml:space="preserve">离婚</t>
  </si>
  <si>
    <r>
      <rPr>
        <sz val="10"/>
        <color rgb="FF253B4B"/>
        <rFont val="Microsoft YaHei"/>
        <family val="0"/>
        <charset val="1"/>
      </rPr>
      <t xml:space="preserve">60 </t>
    </r>
    <r>
      <rPr>
        <sz val="10"/>
        <color rgb="FF253B4B"/>
        <rFont val="Noto Sans CJK SC"/>
        <family val="2"/>
      </rPr>
      <t xml:space="preserve">户公寓楼</t>
    </r>
  </si>
  <si>
    <t xml:space="preserve">60_unit_apartment_building</t>
  </si>
  <si>
    <t xml:space="preserve">披萨连锁店</t>
  </si>
  <si>
    <t xml:space="preserve">pizza_franchise</t>
  </si>
  <si>
    <r>
      <rPr>
        <sz val="10"/>
        <color rgb="FF253B4B"/>
        <rFont val="Microsoft YaHei"/>
        <family val="0"/>
        <charset val="1"/>
      </rPr>
      <t xml:space="preserve">200 </t>
    </r>
    <r>
      <rPr>
        <sz val="10"/>
        <color rgb="FF253B4B"/>
        <rFont val="Noto Sans CJK SC"/>
        <family val="2"/>
      </rPr>
      <t xml:space="preserve">间迷你仓库</t>
    </r>
  </si>
  <si>
    <t xml:space="preserve">200_unit_mini_storage</t>
  </si>
  <si>
    <t xml:space="preserve">生物科技公司上市</t>
  </si>
  <si>
    <t xml:space="preserve">bio_tech_co._ipo</t>
  </si>
  <si>
    <t xml:space="preserve">干洗店</t>
  </si>
  <si>
    <t xml:space="preserve">dry_cleaner</t>
  </si>
  <si>
    <t xml:space="preserve">厨具电视直销业务</t>
  </si>
  <si>
    <t xml:space="preserve">cookware_infomercial</t>
  </si>
  <si>
    <t xml:space="preserve">lawsuit</t>
  </si>
  <si>
    <t xml:space="preserve">诉讼</t>
  </si>
  <si>
    <t xml:space="preserve">家庭餐厅连锁</t>
  </si>
  <si>
    <t xml:space="preserve">family_restaurant_chain</t>
  </si>
  <si>
    <t xml:space="preserve">汉堡连锁店</t>
  </si>
  <si>
    <t xml:space="preserve">burger_franchise</t>
  </si>
  <si>
    <t xml:space="preserve">便利店连锁</t>
  </si>
  <si>
    <t xml:space="preserve">quick_food_marts</t>
  </si>
  <si>
    <t xml:space="preserve">组件</t>
  </si>
  <si>
    <t xml:space="preserve">实际条数</t>
  </si>
  <si>
    <t xml:space="preserve">工作簿条数公式</t>
  </si>
  <si>
    <t xml:space="preserve">比对结果</t>
  </si>
  <si>
    <t xml:space="preserve">jobs</t>
  </si>
  <si>
    <t xml:space="preserve">reference-data.js</t>
  </si>
  <si>
    <t xml:space="preserve">small</t>
  </si>
  <si>
    <t xml:space="preserve">big</t>
  </si>
  <si>
    <t xml:space="preserve">market</t>
  </si>
  <si>
    <t xml:space="preserve">doodads</t>
  </si>
  <si>
    <t xml:space="preserve">dreams</t>
  </si>
  <si>
    <t xml:space="preserve">fast</t>
  </si>
  <si>
    <t xml:space="preserve">机制数据字典｜当前字段逐项映射</t>
  </si>
  <si>
    <t xml:space="preserve">原始字段保留；金额与倍率按上下文区分，不能把所有amount都标为美元。</t>
  </si>
  <si>
    <t xml:space="preserve">本表由实际数据记录遍历生成，规则解释按engine.js分支复核。</t>
  </si>
  <si>
    <t xml:space="preserve">数据域</t>
  </si>
  <si>
    <t xml:space="preserve">字段</t>
  </si>
  <si>
    <t xml:space="preserve">中文含义</t>
  </si>
  <si>
    <t xml:space="preserve">实际类型</t>
  </si>
  <si>
    <t xml:space="preserve">单位／约束</t>
  </si>
  <si>
    <t xml:space="preserve">例值</t>
  </si>
  <si>
    <t xml:space="preserve">职业标识</t>
  </si>
  <si>
    <t xml:space="preserve">int</t>
  </si>
  <si>
    <t xml:space="preserve">字符串／匹配与显示标识</t>
  </si>
  <si>
    <t xml:space="preserve">显示名</t>
  </si>
  <si>
    <t xml:space="preserve">str</t>
  </si>
  <si>
    <t xml:space="preserve">原英文名</t>
  </si>
  <si>
    <t xml:space="preserve">金额／月（内圈）</t>
  </si>
  <si>
    <r>
      <rPr>
        <sz val="10"/>
        <rFont val="Microsoft YaHei"/>
        <family val="0"/>
        <charset val="1"/>
      </rPr>
      <t xml:space="preserve">home</t>
    </r>
    <r>
      <rPr>
        <sz val="10"/>
        <rFont val="Noto Sans CJK SC"/>
        <family val="2"/>
      </rPr>
      <t xml:space="preserve">贷款月供</t>
    </r>
  </si>
  <si>
    <t xml:space="preserve">金额／月</t>
  </si>
  <si>
    <r>
      <rPr>
        <sz val="10"/>
        <rFont val="Microsoft YaHei"/>
        <family val="0"/>
        <charset val="1"/>
      </rPr>
      <t xml:space="preserve">school</t>
    </r>
    <r>
      <rPr>
        <sz val="10"/>
        <rFont val="Noto Sans CJK SC"/>
        <family val="2"/>
      </rPr>
      <t xml:space="preserve">贷款月供</t>
    </r>
  </si>
  <si>
    <r>
      <rPr>
        <sz val="10"/>
        <rFont val="Microsoft YaHei"/>
        <family val="0"/>
        <charset val="1"/>
      </rPr>
      <t xml:space="preserve">car</t>
    </r>
    <r>
      <rPr>
        <sz val="10"/>
        <rFont val="Noto Sans CJK SC"/>
        <family val="2"/>
      </rPr>
      <t xml:space="preserve">贷款月供</t>
    </r>
  </si>
  <si>
    <r>
      <rPr>
        <sz val="10"/>
        <rFont val="Microsoft YaHei"/>
        <family val="0"/>
        <charset val="1"/>
      </rPr>
      <t xml:space="preserve">credit</t>
    </r>
    <r>
      <rPr>
        <sz val="10"/>
        <rFont val="Noto Sans CJK SC"/>
        <family val="2"/>
      </rPr>
      <t xml:space="preserve">贷款月供</t>
    </r>
  </si>
  <si>
    <r>
      <rPr>
        <sz val="10"/>
        <rFont val="Microsoft YaHei"/>
        <family val="0"/>
        <charset val="1"/>
      </rPr>
      <t xml:space="preserve">retail</t>
    </r>
    <r>
      <rPr>
        <sz val="10"/>
        <rFont val="Noto Sans CJK SC"/>
        <family val="2"/>
      </rPr>
      <t xml:space="preserve">贷款月供</t>
    </r>
  </si>
  <si>
    <t xml:space="preserve">其他生活支出</t>
  </si>
  <si>
    <t xml:space="preserve">金额；price/range为每份，savings仅开局一次</t>
  </si>
  <si>
    <t xml:space="preserve">每孩月支出</t>
  </si>
  <si>
    <r>
      <rPr>
        <sz val="10"/>
        <rFont val="Microsoft YaHei"/>
        <family val="0"/>
        <charset val="1"/>
      </rPr>
      <t xml:space="preserve">home</t>
    </r>
    <r>
      <rPr>
        <sz val="10"/>
        <rFont val="Noto Sans CJK SC"/>
        <family val="2"/>
      </rPr>
      <t xml:space="preserve">贷款余额</t>
    </r>
  </si>
  <si>
    <t xml:space="preserve">金额；参考profile初始化school债务另见DEC-04</t>
  </si>
  <si>
    <r>
      <rPr>
        <sz val="10"/>
        <rFont val="Microsoft YaHei"/>
        <family val="0"/>
        <charset val="1"/>
      </rPr>
      <t xml:space="preserve">school</t>
    </r>
    <r>
      <rPr>
        <sz val="10"/>
        <rFont val="Noto Sans CJK SC"/>
        <family val="2"/>
      </rPr>
      <t xml:space="preserve">贷款余额</t>
    </r>
  </si>
  <si>
    <r>
      <rPr>
        <sz val="10"/>
        <rFont val="Microsoft YaHei"/>
        <family val="0"/>
        <charset val="1"/>
      </rPr>
      <t xml:space="preserve">car</t>
    </r>
    <r>
      <rPr>
        <sz val="10"/>
        <rFont val="Noto Sans CJK SC"/>
        <family val="2"/>
      </rPr>
      <t xml:space="preserve">贷款余额</t>
    </r>
  </si>
  <si>
    <r>
      <rPr>
        <sz val="10"/>
        <rFont val="Microsoft YaHei"/>
        <family val="0"/>
        <charset val="1"/>
      </rPr>
      <t xml:space="preserve">credit</t>
    </r>
    <r>
      <rPr>
        <sz val="10"/>
        <rFont val="Noto Sans CJK SC"/>
        <family val="2"/>
      </rPr>
      <t xml:space="preserve">贷款余额</t>
    </r>
  </si>
  <si>
    <r>
      <rPr>
        <sz val="10"/>
        <rFont val="Microsoft YaHei"/>
        <family val="0"/>
        <charset val="1"/>
      </rPr>
      <t xml:space="preserve">retail</t>
    </r>
    <r>
      <rPr>
        <sz val="10"/>
        <rFont val="Noto Sans CJK SC"/>
        <family val="2"/>
      </rPr>
      <t xml:space="preserve">贷款余额</t>
    </r>
  </si>
  <si>
    <t xml:space="preserve">来源记录ID</t>
  </si>
  <si>
    <t xml:space="preserve">共享报价可买入</t>
  </si>
  <si>
    <t xml:space="preserve">bool</t>
  </si>
  <si>
    <t xml:space="preserve">布尔标记；不是在线座位权限</t>
  </si>
  <si>
    <t xml:space="preserve">true</t>
  </si>
  <si>
    <t xml:space="preserve">资产匹配键／特定模式增量</t>
  </si>
  <si>
    <t xml:space="preserve">牌／格类型</t>
  </si>
  <si>
    <t xml:space="preserve">单位／套数</t>
  </si>
  <si>
    <t xml:space="preserve">计数；匹配时结合资产key和单位类型</t>
  </si>
  <si>
    <t xml:space="preserve">证券代码</t>
  </si>
  <si>
    <t xml:space="preserve">每份报价</t>
  </si>
  <si>
    <t xml:space="preserve">每份净收入</t>
  </si>
  <si>
    <t xml:space="preserve">常见报价下界</t>
  </si>
  <si>
    <t xml:space="preserve">常见报价上界</t>
  </si>
  <si>
    <t xml:space="preserve">首付</t>
  </si>
  <si>
    <t xml:space="preserve">资产总价</t>
  </si>
  <si>
    <t xml:space="preserve">附带抵押贷款</t>
  </si>
  <si>
    <t xml:space="preserve">净现金流</t>
  </si>
  <si>
    <t xml:space="preserve">金额／月（内圈资产）或金额／现金流日（快车道）</t>
  </si>
  <si>
    <t xml:space="preserve">拆并股倍率</t>
  </si>
  <si>
    <t xml:space="preserve">float/int</t>
  </si>
  <si>
    <t xml:space="preserve">无量纲倍率；拆股2或并股0.5</t>
  </si>
  <si>
    <t xml:space="preserve">false</t>
  </si>
  <si>
    <t xml:space="preserve">市场效果类型</t>
  </si>
  <si>
    <t xml:space="preserve">是否共享市场效果</t>
  </si>
  <si>
    <t xml:space="preserve">通常为资产匹配键；startup中为收入增量数值字符串</t>
  </si>
  <si>
    <t xml:space="preserve">市场报价／增价／费用／倍率</t>
  </si>
  <si>
    <r>
      <rPr>
        <sz val="10"/>
        <rFont val="Microsoft YaHei"/>
        <family val="0"/>
        <charset val="1"/>
      </rPr>
      <t xml:space="preserve">market.mode: sell</t>
    </r>
    <r>
      <rPr>
        <sz val="10"/>
        <rFont val="Noto Sans CJK SC"/>
        <family val="2"/>
      </rPr>
      <t xml:space="preserve">报价、</t>
    </r>
    <r>
      <rPr>
        <sz val="10"/>
        <rFont val="Microsoft YaHei"/>
        <family val="0"/>
        <charset val="1"/>
      </rPr>
      <t xml:space="preserve">selladd</t>
    </r>
    <r>
      <rPr>
        <sz val="10"/>
        <rFont val="Noto Sans CJK SC"/>
        <family val="2"/>
      </rPr>
      <t xml:space="preserve">增价、</t>
    </r>
    <r>
      <rPr>
        <sz val="10"/>
        <rFont val="Microsoft YaHei"/>
        <family val="0"/>
        <charset val="1"/>
      </rPr>
      <t xml:space="preserve">fee</t>
    </r>
    <r>
      <rPr>
        <sz val="10"/>
        <rFont val="Noto Sans CJK SC"/>
        <family val="2"/>
      </rPr>
      <t xml:space="preserve">费用、</t>
    </r>
    <r>
      <rPr>
        <sz val="10"/>
        <rFont val="Microsoft YaHei"/>
        <family val="0"/>
        <charset val="1"/>
      </rPr>
      <t xml:space="preserve">sellmultiply</t>
    </r>
    <r>
      <rPr>
        <sz val="10"/>
        <rFont val="Noto Sans CJK SC"/>
        <family val="2"/>
      </rPr>
      <t xml:space="preserve">倍率；</t>
    </r>
    <r>
      <rPr>
        <sz val="10"/>
        <rFont val="Microsoft YaHei"/>
        <family val="0"/>
        <charset val="1"/>
      </rPr>
      <t xml:space="preserve">startup</t>
    </r>
    <r>
      <rPr>
        <sz val="10"/>
        <rFont val="Noto Sans CJK SC"/>
        <family val="2"/>
      </rPr>
      <t xml:space="preserve">增量来自</t>
    </r>
    <r>
      <rPr>
        <sz val="10"/>
        <rFont val="Microsoft YaHei"/>
        <family val="0"/>
        <charset val="1"/>
      </rPr>
      <t xml:space="preserve">key</t>
    </r>
    <r>
      <rPr>
        <sz val="10"/>
        <rFont val="Noto Sans CJK SC"/>
        <family val="2"/>
      </rPr>
      <t xml:space="preserve">；</t>
    </r>
    <r>
      <rPr>
        <sz val="10"/>
        <rFont val="Microsoft YaHei"/>
        <family val="0"/>
        <charset val="1"/>
      </rPr>
      <t xml:space="preserve">brother</t>
    </r>
    <r>
      <rPr>
        <sz val="10"/>
        <rFont val="Noto Sans CJK SC"/>
        <family val="2"/>
      </rPr>
      <t xml:space="preserve">本次净收款按规则处理</t>
    </r>
  </si>
  <si>
    <t xml:space="preserve">匹配最少单位</t>
  </si>
  <si>
    <t xml:space="preserve">卡面费用／投入</t>
  </si>
  <si>
    <t xml:space="preserve">子女适用条件</t>
  </si>
  <si>
    <t xml:space="preserve">NoneType/str</t>
  </si>
  <si>
    <r>
      <rPr>
        <sz val="10"/>
        <rFont val="Microsoft YaHei"/>
        <family val="0"/>
        <charset val="1"/>
      </rPr>
      <t xml:space="preserve">false</t>
    </r>
    <r>
      <rPr>
        <sz val="10"/>
        <rFont val="Noto Sans CJK SC"/>
        <family val="2"/>
      </rPr>
      <t xml:space="preserve">无子女限制；</t>
    </r>
    <r>
      <rPr>
        <sz val="10"/>
        <rFont val="Microsoft YaHei"/>
        <family val="0"/>
        <charset val="1"/>
      </rPr>
      <t xml:space="preserve">has</t>
    </r>
    <r>
      <rPr>
        <sz val="10"/>
        <rFont val="Noto Sans CJK SC"/>
        <family val="2"/>
      </rPr>
      <t xml:space="preserve">或</t>
    </r>
    <r>
      <rPr>
        <sz val="10"/>
        <rFont val="Microsoft YaHei"/>
        <family val="0"/>
        <charset val="1"/>
      </rPr>
      <t xml:space="preserve">per</t>
    </r>
    <r>
      <rPr>
        <sz val="10"/>
        <rFont val="Noto Sans CJK SC"/>
        <family val="2"/>
      </rPr>
      <t xml:space="preserve">按引擎决定有孩或逐孩费用</t>
    </r>
  </si>
  <si>
    <t xml:space="preserve">分期新增月供</t>
  </si>
  <si>
    <t xml:space="preserve">外圈位置</t>
  </si>
  <si>
    <r>
      <rPr>
        <sz val="10"/>
        <rFont val="Microsoft YaHei"/>
        <family val="0"/>
        <charset val="1"/>
      </rPr>
      <t xml:space="preserve">0</t>
    </r>
    <r>
      <rPr>
        <sz val="10"/>
        <rFont val="Noto Sans CJK SC"/>
        <family val="2"/>
      </rPr>
      <t xml:space="preserve">基外圈索引，</t>
    </r>
    <r>
      <rPr>
        <sz val="10"/>
        <rFont val="Microsoft YaHei"/>
        <family val="0"/>
        <charset val="1"/>
      </rPr>
      <t xml:space="preserve">0..47</t>
    </r>
  </si>
  <si>
    <t xml:space="preserve">显示图标标记</t>
  </si>
  <si>
    <t xml:space="preserve">原始图集帧名</t>
  </si>
  <si>
    <t xml:space="preserve">投资成功阈值</t>
  </si>
  <si>
    <t xml:space="preserve">骰点成功阈值；0表示非风险</t>
  </si>
  <si>
    <t xml:space="preserve">成功奖励现金</t>
  </si>
  <si>
    <t xml:space="preserve">数值不变量与检查前提</t>
  </si>
  <si>
    <t xml:space="preserve">仅在没有同时发生升阶／其他强制效果时比较单次现金变化。</t>
  </si>
  <si>
    <t xml:space="preserve">实现应使用独立例值验证，不能只重写实现公式。</t>
  </si>
  <si>
    <t xml:space="preserve">情形</t>
  </si>
  <si>
    <t xml:space="preserve">应满足关系</t>
  </si>
  <si>
    <t xml:space="preserve">前提／测试依据</t>
  </si>
  <si>
    <t xml:space="preserve">INV-01</t>
  </si>
  <si>
    <t xml:space="preserve">证券买入</t>
  </si>
  <si>
    <t xml:space="preserve">现金减少price×q，持股增加q</t>
  </si>
  <si>
    <t xml:space="preserve">合法整数份数；不足现金先走贷款，未确认不买入</t>
  </si>
  <si>
    <t xml:space="preserve">INV-02</t>
  </si>
  <si>
    <t xml:space="preserve">证券出售</t>
  </si>
  <si>
    <t xml:space="preserve">现金增加price×q，按便宜批次扣除成本</t>
  </si>
  <si>
    <t xml:space="preserve">持仓足够；分红按剩余数量重新计算</t>
  </si>
  <si>
    <t xml:space="preserve">INV-03</t>
  </si>
  <si>
    <t xml:space="preserve">银行借款</t>
  </si>
  <si>
    <t xml:space="preserve">现金和银行余额加1000n，月供加100n</t>
  </si>
  <si>
    <t xml:space="preserve">参考profile内圈；单位和借款上限经校验</t>
  </si>
  <si>
    <t xml:space="preserve">INV-04</t>
  </si>
  <si>
    <t xml:space="preserve">债务偿还</t>
  </si>
  <si>
    <t xml:space="preserve">现金减少实际偿还额；余额／月供按类型减少</t>
  </si>
  <si>
    <t xml:space="preserve">非银行全额；银行金额舍入和现金上限</t>
  </si>
  <si>
    <t xml:space="preserve">INV-05</t>
  </si>
  <si>
    <t xml:space="preserve">月净流入</t>
  </si>
  <si>
    <t xml:space="preserve">工资＋资产收入−税−其他−月供−子女支出</t>
  </si>
  <si>
    <t xml:space="preserve">参考profile开局省略school债务兼容差异</t>
  </si>
  <si>
    <t xml:space="preserve">INV-06</t>
  </si>
  <si>
    <t xml:space="preserve">房产资产栏</t>
  </si>
  <si>
    <t xml:space="preserve">显示总价value，不把首付cost当总价</t>
  </si>
  <si>
    <t xml:space="preserve">清算所得使用所选规则的首付基准</t>
  </si>
  <si>
    <t xml:space="preserve">INV-07</t>
  </si>
  <si>
    <t xml:space="preserve">取消与查看</t>
  </si>
  <si>
    <t xml:space="preserve">未执行交易；草稿及卡片恢复</t>
  </si>
  <si>
    <t xml:space="preserve">取消、确认、关闭窗口与结束回合分别测试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</si>
</sst>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;[RED]\-#,##0.##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  <charset val="1"/>
    </font>
    <font>
      <b val="true"/>
      <sz val="17"/>
      <color rgb="FFFFFFFF"/>
      <name val="Noto Sans CJK SC"/>
      <family val="2"/>
      <charset val="1"/>
    </font>
    <font>
      <sz val="10"/>
      <color rgb="FF506577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253B4B"/>
      <name val="Noto Sans CJK SC"/>
      <family val="2"/>
      <charset val="1"/>
    </font>
    <font>
      <sz val="10"/>
      <color rgb="FF253B4B"/>
      <name val="Microsoft YaHei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FFFFFF"/>
      <name val="Microsoft YaHei"/>
      <family val="0"/>
      <charset val="1"/>
    </font>
    <font>
      <sz val="10"/>
      <color rgb="FF253B4B"/>
      <name val="Noto Sans CJK SC"/>
      <family val="2"/>
    </font>
    <font>
      <sz val="10"/>
      <name val="Microsoft YaHei"/>
      <family val="0"/>
      <charset val="1"/>
    </font>
    <font>
      <sz val="10"/>
      <name val="Noto Sans CJK SC"/>
      <family val="2"/>
    </font>
    <font>
      <b val="true"/>
      <sz val="16"/>
      <color rgb="FFFFFFFF"/>
      <name val="Noto Sans CJK SC"/>
      <family val="2"/>
      <charset val="1"/>
    </font>
    <font>
      <sz val="10"/>
      <color rgb="FF18354B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1"/>
      <color rgb="FFFFFFFF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78787"/>
      <rgbColor rgb="FF9999FF"/>
      <rgbColor rgb="FFC0504D"/>
      <rgbColor rgb="FFFFFFCC"/>
      <rgbColor rgb="FFEAF3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职业工资与月支出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职业财务摘要!B4</c:f>
              <c:strCache>
                <c:ptCount val="1"/>
                <c:pt idx="0">
                  <c:v>工资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职业财务摘要!$A$5:$A$16</c:f>
              <c:strCache>
                <c:ptCount val="12"/>
                <c:pt idx="0">
                  <c:v>教师</c:v>
                </c:pt>
                <c:pt idx="1">
                  <c:v>护士</c:v>
                </c:pt>
                <c:pt idx="2">
                  <c:v>警察</c:v>
                </c:pt>
                <c:pt idx="3">
                  <c:v>机械师</c:v>
                </c:pt>
                <c:pt idx="4">
                  <c:v>卡车司机</c:v>
                </c:pt>
                <c:pt idx="5">
                  <c:v>秘书</c:v>
                </c:pt>
                <c:pt idx="6">
                  <c:v>工程师</c:v>
                </c:pt>
                <c:pt idx="7">
                  <c:v>律师</c:v>
                </c:pt>
                <c:pt idx="8">
                  <c:v>医生</c:v>
                </c:pt>
                <c:pt idx="9">
                  <c:v>航空驾驶员</c:v>
                </c:pt>
                <c:pt idx="10">
                  <c:v>企业经理</c:v>
                </c:pt>
                <c:pt idx="11">
                  <c:v>清洁工</c:v>
                </c:pt>
              </c:strCache>
            </c:strRef>
          </c:cat>
          <c:val>
            <c:numRef>
              <c:f>职业财务摘要!$B$5:$B$16</c:f>
              <c:numCache>
                <c:formatCode>#,##0.##;[RED]\-#,##0.##</c:formatCode>
                <c:ptCount val="12"/>
                <c:pt idx="0">
                  <c:v>3300</c:v>
                </c:pt>
                <c:pt idx="1">
                  <c:v>3100</c:v>
                </c:pt>
                <c:pt idx="2">
                  <c:v>3000</c:v>
                </c:pt>
                <c:pt idx="3">
                  <c:v>2000</c:v>
                </c:pt>
                <c:pt idx="4">
                  <c:v>2500</c:v>
                </c:pt>
                <c:pt idx="5">
                  <c:v>2500</c:v>
                </c:pt>
                <c:pt idx="6">
                  <c:v>4900</c:v>
                </c:pt>
                <c:pt idx="7">
                  <c:v>7500</c:v>
                </c:pt>
                <c:pt idx="8">
                  <c:v>13200</c:v>
                </c:pt>
                <c:pt idx="9">
                  <c:v>9500</c:v>
                </c:pt>
                <c:pt idx="10">
                  <c:v>4600</c:v>
                </c:pt>
                <c:pt idx="11">
                  <c:v>1600</c:v>
                </c:pt>
              </c:numCache>
            </c:numRef>
          </c:val>
        </c:ser>
        <c:ser>
          <c:idx val="1"/>
          <c:order val="1"/>
          <c:tx>
            <c:strRef>
              <c:f>职业财务摘要!F4</c:f>
              <c:strCache>
                <c:ptCount val="1"/>
                <c:pt idx="0">
                  <c:v>总支出（公式）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职业财务摘要!$A$5:$A$16</c:f>
              <c:strCache>
                <c:ptCount val="12"/>
                <c:pt idx="0">
                  <c:v>教师</c:v>
                </c:pt>
                <c:pt idx="1">
                  <c:v>护士</c:v>
                </c:pt>
                <c:pt idx="2">
                  <c:v>警察</c:v>
                </c:pt>
                <c:pt idx="3">
                  <c:v>机械师</c:v>
                </c:pt>
                <c:pt idx="4">
                  <c:v>卡车司机</c:v>
                </c:pt>
                <c:pt idx="5">
                  <c:v>秘书</c:v>
                </c:pt>
                <c:pt idx="6">
                  <c:v>工程师</c:v>
                </c:pt>
                <c:pt idx="7">
                  <c:v>律师</c:v>
                </c:pt>
                <c:pt idx="8">
                  <c:v>医生</c:v>
                </c:pt>
                <c:pt idx="9">
                  <c:v>航空驾驶员</c:v>
                </c:pt>
                <c:pt idx="10">
                  <c:v>企业经理</c:v>
                </c:pt>
                <c:pt idx="11">
                  <c:v>清洁工</c:v>
                </c:pt>
              </c:strCache>
            </c:strRef>
          </c:cat>
          <c:val>
            <c:numRef>
              <c:f>职业财务摘要!$F$5:$F$16</c:f>
              <c:numCache>
                <c:formatCode>#,##0.##;[RED]\-#,##0.##</c:formatCode>
                <c:ptCount val="12"/>
                <c:pt idx="0">
                  <c:v>2130</c:v>
                </c:pt>
                <c:pt idx="1">
                  <c:v>1950</c:v>
                </c:pt>
                <c:pt idx="2">
                  <c:v>1880</c:v>
                </c:pt>
                <c:pt idx="3">
                  <c:v>1280</c:v>
                </c:pt>
                <c:pt idx="4">
                  <c:v>1620</c:v>
                </c:pt>
                <c:pt idx="5">
                  <c:v>1620</c:v>
                </c:pt>
                <c:pt idx="6">
                  <c:v>3150</c:v>
                </c:pt>
                <c:pt idx="7">
                  <c:v>5030</c:v>
                </c:pt>
                <c:pt idx="8">
                  <c:v>8900</c:v>
                </c:pt>
                <c:pt idx="9">
                  <c:v>6900</c:v>
                </c:pt>
                <c:pt idx="10">
                  <c:v>2870</c:v>
                </c:pt>
                <c:pt idx="11">
                  <c:v>950</c:v>
                </c:pt>
              </c:numCache>
            </c:numRef>
          </c:val>
        </c:ser>
        <c:gapWidth val="150"/>
        <c:overlap val="0"/>
        <c:axId val="8204893"/>
        <c:axId val="20221784"/>
      </c:barChart>
      <c:catAx>
        <c:axId val="82048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职业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221784"/>
        <c:crosses val="autoZero"/>
        <c:auto val="1"/>
        <c:lblAlgn val="ctr"/>
        <c:lblOffset val="100"/>
        <c:noMultiLvlLbl val="0"/>
      </c:catAx>
      <c:valAx>
        <c:axId val="20221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金额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##;[RED]\-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04893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22</xdr:col>
      <xdr:colOff>329400</xdr:colOff>
      <xdr:row>13</xdr:row>
      <xdr:rowOff>339480</xdr:rowOff>
    </xdr:to>
    <xdr:graphicFrame>
      <xdr:nvGraphicFramePr>
        <xdr:cNvPr id="1" name="Chart 1"/>
        <xdr:cNvGraphicFramePr/>
      </xdr:nvGraphicFramePr>
      <xdr:xfrm>
        <a:off x="11889000" y="1190520"/>
        <a:ext cx="82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10" displayName="CFTable10" ref="A4:F46" headerRowCount="1" totalsRowCount="0" totalsRowShown="0">
  <autoFilter ref="A4:F46"/>
  <tableColumns count="6">
    <tableColumn id="1" name="记录序号"/>
    <tableColumn id="2" name="sourceId"/>
    <tableColumn id="3" name="name"/>
    <tableColumn id="4" name="cost"/>
    <tableColumn id="5" name="child"/>
    <tableColumn id="6" name="pay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11" displayName="CFTable11" ref="A4:F27" headerRowCount="1" totalsRowCount="0" totalsRowShown="0">
  <autoFilter ref="A4:F27"/>
  <tableColumns count="6">
    <tableColumn id="1" name="记录序号"/>
    <tableColumn id="2" name="name"/>
    <tableColumn id="3" name="cost"/>
    <tableColumn id="4" name="position"/>
    <tableColumn id="5" name="icon"/>
    <tableColumn id="6" name="art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Table12" displayName="CFTable12" ref="A4:H52" headerRowCount="1" totalsRowCount="0" totalsRowShown="0">
  <autoFilter ref="A4:H52"/>
  <tableColumns count="8">
    <tableColumn id="1" name="记录序号"/>
    <tableColumn id="2" name="type"/>
    <tableColumn id="3" name="name"/>
    <tableColumn id="4" name="cost"/>
    <tableColumn id="5" name="income"/>
    <tableColumn id="6" name="rollmin"/>
    <tableColumn id="7" name="reward"/>
    <tableColumn id="8" name="art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FTable13" displayName="CFTable13" ref="A4:E11" headerRowCount="1" totalsRowCount="0" totalsRowShown="0">
  <autoFilter ref="A4:E11"/>
  <tableColumns count="5">
    <tableColumn id="1" name="组件"/>
    <tableColumn id="2" name="实际条数"/>
    <tableColumn id="3" name="来源"/>
    <tableColumn id="4" name="工作簿条数公式"/>
    <tableColumn id="5" name="比对结果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FTable4" displayName="CFTable4" ref="A4:G22" headerRowCount="1" totalsRowCount="0" totalsRowShown="0">
  <autoFilter ref="A4:G22"/>
  <tableColumns count="7">
    <tableColumn id="1" name="需求ID"/>
    <tableColumn id="2" name="主题"/>
    <tableColumn id="3" name="通过标准"/>
    <tableColumn id="4" name="负责角色"/>
    <tableColumn id="5" name="测试／依据"/>
    <tableColumn id="6" name="UAT"/>
    <tableColumn id="7" name="状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FTable5" displayName="CFTable5" ref="A4:F13" headerRowCount="1" totalsRowCount="0" totalsRowShown="0">
  <autoFilter ref="A4:F13"/>
  <tableColumns count="6">
    <tableColumn id="1" name="ID"/>
    <tableColumn id="2" name="主题"/>
    <tableColumn id="3" name="当前事实"/>
    <tableColumn id="4" name="处理要求"/>
    <tableColumn id="5" name="责任角色"/>
    <tableColumn id="6" name="状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FTable6" displayName="CFTable6" ref="A4:S16" headerRowCount="1" totalsRowCount="0" totalsRowShown="0">
  <autoFilter ref="A4:S16"/>
  <tableColumns count="19">
    <tableColumn id="1" name="记录序号"/>
    <tableColumn id="2" name="id"/>
    <tableColumn id="3" name="name"/>
    <tableColumn id="4" name="english"/>
    <tableColumn id="5" name="salary"/>
    <tableColumn id="6" name="tax"/>
    <tableColumn id="7" name="homePayment"/>
    <tableColumn id="8" name="schoolPayment"/>
    <tableColumn id="9" name="carPayment"/>
    <tableColumn id="10" name="creditPayment"/>
    <tableColumn id="11" name="retailPayment"/>
    <tableColumn id="12" name="other"/>
    <tableColumn id="13" name="savings"/>
    <tableColumn id="14" name="childCost"/>
    <tableColumn id="15" name="homeDebt"/>
    <tableColumn id="16" name="schoolDebt"/>
    <tableColumn id="17" name="carDebt"/>
    <tableColumn id="18" name="creditDebt"/>
    <tableColumn id="19" name="retailDeb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FTable7" displayName="CFTable7" ref="A4:Q59" headerRowCount="1" totalsRowCount="0" totalsRowShown="0">
  <autoFilter ref="A4:Q59"/>
  <tableColumns count="17">
    <tableColumn id="1" name="记录序号"/>
    <tableColumn id="2" name="sourceId"/>
    <tableColumn id="3" name="anyoneBuy"/>
    <tableColumn id="4" name="name"/>
    <tableColumn id="5" name="key"/>
    <tableColumn id="6" name="type"/>
    <tableColumn id="7" name="units"/>
    <tableColumn id="8" name="symbol"/>
    <tableColumn id="9" name="price"/>
    <tableColumn id="10" name="dividend"/>
    <tableColumn id="11" name="rangeMin"/>
    <tableColumn id="12" name="rangeMax"/>
    <tableColumn id="13" name="down"/>
    <tableColumn id="14" name="value"/>
    <tableColumn id="15" name="debt"/>
    <tableColumn id="16" name="income"/>
    <tableColumn id="17" name="fact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FTable8" displayName="CFTable8" ref="A4:K44" headerRowCount="1" totalsRowCount="0" totalsRowShown="0">
  <autoFilter ref="A4:K44"/>
  <tableColumns count="11">
    <tableColumn id="1" name="记录序号"/>
    <tableColumn id="2" name="sourceId"/>
    <tableColumn id="3" name="anyoneBuy"/>
    <tableColumn id="4" name="name"/>
    <tableColumn id="5" name="key"/>
    <tableColumn id="6" name="type"/>
    <tableColumn id="7" name="units"/>
    <tableColumn id="8" name="down"/>
    <tableColumn id="9" name="value"/>
    <tableColumn id="10" name="debt"/>
    <tableColumn id="11" name="inco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FTable9" displayName="CFTable9" ref="A4:G49" headerRowCount="1" totalsRowCount="0" totalsRowShown="0">
  <autoFilter ref="A4:G49"/>
  <tableColumns count="7">
    <tableColumn id="1" name="记录序号"/>
    <tableColumn id="2" name="sourceId"/>
    <tableColumn id="3" name="mode"/>
    <tableColumn id="4" name="global"/>
    <tableColumn id="5" name="key"/>
    <tableColumn id="6" name="amount"/>
    <tableColumn id="7" name="min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95"/>
    <col collapsed="false" customWidth="true" hidden="false" outlineLevel="0" max="3" min="3" style="1" width="20"/>
  </cols>
  <sheetData>
    <row r="1" customFormat="false" ht="36" hidden="false" customHeight="true" outlineLevel="0" collapsed="false">
      <c r="A1" s="2" t="s">
        <v>0</v>
      </c>
      <c r="B1" s="2"/>
      <c r="C1" s="2"/>
    </row>
    <row r="2" customFormat="false" ht="39.75" hidden="false" customHeight="true" outlineLevel="0" collapsed="false">
      <c r="A2" s="3" t="s">
        <v>1</v>
      </c>
      <c r="B2" s="3" t="s">
        <v>2</v>
      </c>
      <c r="C2" s="3"/>
    </row>
    <row r="3" customFormat="false" ht="39.75" hidden="false" customHeight="true" outlineLevel="0" collapsed="false">
      <c r="A3" s="3" t="s">
        <v>3</v>
      </c>
      <c r="B3" s="3" t="s">
        <v>4</v>
      </c>
      <c r="C3" s="3"/>
    </row>
    <row r="4" customFormat="false" ht="39.75" hidden="false" customHeight="true" outlineLevel="0" collapsed="false">
      <c r="A4" s="3" t="s">
        <v>5</v>
      </c>
      <c r="B4" s="3" t="s">
        <v>6</v>
      </c>
      <c r="C4" s="3"/>
    </row>
    <row r="5" customFormat="false" ht="39.75" hidden="false" customHeight="true" outlineLevel="0" collapsed="false">
      <c r="A5" s="3" t="s">
        <v>7</v>
      </c>
      <c r="B5" s="3" t="s">
        <v>8</v>
      </c>
      <c r="C5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0"/>
  </cols>
  <sheetData>
    <row r="1" customFormat="false" ht="33.75" hidden="false" customHeight="true" outlineLevel="0" collapsed="false">
      <c r="A1" s="4" t="s">
        <v>9</v>
      </c>
      <c r="B1" s="4"/>
      <c r="C1" s="4"/>
      <c r="D1" s="4"/>
      <c r="E1" s="4"/>
      <c r="F1" s="4"/>
      <c r="G1" s="4"/>
      <c r="H1" s="4"/>
    </row>
    <row r="2" customFormat="false" ht="30" hidden="false" customHeight="true" outlineLevel="0" collapsed="false">
      <c r="A2" s="5" t="s">
        <v>10</v>
      </c>
      <c r="B2" s="5"/>
      <c r="C2" s="5"/>
      <c r="D2" s="5"/>
      <c r="E2" s="5"/>
      <c r="F2" s="5"/>
      <c r="G2" s="5"/>
      <c r="H2" s="5"/>
    </row>
    <row r="3" customFormat="false" ht="30" hidden="false" customHeight="true" outlineLevel="0" collapsed="false">
      <c r="A3" s="5" t="s">
        <v>11</v>
      </c>
      <c r="B3" s="5"/>
      <c r="C3" s="5"/>
      <c r="D3" s="5"/>
      <c r="E3" s="5"/>
      <c r="F3" s="5"/>
      <c r="G3" s="5"/>
      <c r="H3" s="5"/>
    </row>
    <row r="4" customFormat="false" ht="1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</row>
    <row r="5" customFormat="false" ht="30" hidden="false" customHeight="true" outlineLevel="0" collapsed="false">
      <c r="A5" s="7" t="s">
        <v>20</v>
      </c>
      <c r="B5" s="8" t="n">
        <v>3300</v>
      </c>
      <c r="C5" s="8" t="n">
        <v>630</v>
      </c>
      <c r="D5" s="8" t="n">
        <v>760</v>
      </c>
      <c r="E5" s="8" t="n">
        <v>740</v>
      </c>
      <c r="F5" s="8" t="n">
        <f aca="false">C5+D5+E5</f>
        <v>2130</v>
      </c>
      <c r="G5" s="8" t="n">
        <f aca="false">B5-F5</f>
        <v>1170</v>
      </c>
      <c r="H5" s="8" t="n">
        <v>400</v>
      </c>
    </row>
    <row r="6" customFormat="false" ht="30" hidden="false" customHeight="true" outlineLevel="0" collapsed="false">
      <c r="A6" s="7" t="s">
        <v>21</v>
      </c>
      <c r="B6" s="8" t="n">
        <v>3100</v>
      </c>
      <c r="C6" s="8" t="n">
        <v>600</v>
      </c>
      <c r="D6" s="8" t="n">
        <v>710</v>
      </c>
      <c r="E6" s="8" t="n">
        <v>640</v>
      </c>
      <c r="F6" s="8" t="n">
        <f aca="false">C6+D6+E6</f>
        <v>1950</v>
      </c>
      <c r="G6" s="8" t="n">
        <f aca="false">B6-F6</f>
        <v>1150</v>
      </c>
      <c r="H6" s="8" t="n">
        <v>480</v>
      </c>
    </row>
    <row r="7" customFormat="false" ht="30" hidden="false" customHeight="true" outlineLevel="0" collapsed="false">
      <c r="A7" s="7" t="s">
        <v>22</v>
      </c>
      <c r="B7" s="8" t="n">
        <v>3000</v>
      </c>
      <c r="C7" s="8" t="n">
        <v>580</v>
      </c>
      <c r="D7" s="8" t="n">
        <v>690</v>
      </c>
      <c r="E7" s="8" t="n">
        <v>610</v>
      </c>
      <c r="F7" s="8" t="n">
        <f aca="false">C7+D7+E7</f>
        <v>1880</v>
      </c>
      <c r="G7" s="8" t="n">
        <f aca="false">B7-F7</f>
        <v>1120</v>
      </c>
      <c r="H7" s="8" t="n">
        <v>520</v>
      </c>
    </row>
    <row r="8" customFormat="false" ht="30" hidden="false" customHeight="true" outlineLevel="0" collapsed="false">
      <c r="A8" s="7" t="s">
        <v>23</v>
      </c>
      <c r="B8" s="8" t="n">
        <v>2000</v>
      </c>
      <c r="C8" s="8" t="n">
        <v>360</v>
      </c>
      <c r="D8" s="8" t="n">
        <v>450</v>
      </c>
      <c r="E8" s="8" t="n">
        <v>470</v>
      </c>
      <c r="F8" s="8" t="n">
        <f aca="false">C8+D8+E8</f>
        <v>1280</v>
      </c>
      <c r="G8" s="8" t="n">
        <f aca="false">B8-F8</f>
        <v>720</v>
      </c>
      <c r="H8" s="8" t="n">
        <v>670</v>
      </c>
    </row>
    <row r="9" customFormat="false" ht="30" hidden="false" customHeight="true" outlineLevel="0" collapsed="false">
      <c r="A9" s="7" t="s">
        <v>24</v>
      </c>
      <c r="B9" s="8" t="n">
        <v>2500</v>
      </c>
      <c r="C9" s="8" t="n">
        <v>460</v>
      </c>
      <c r="D9" s="8" t="n">
        <v>570</v>
      </c>
      <c r="E9" s="8" t="n">
        <v>590</v>
      </c>
      <c r="F9" s="8" t="n">
        <f aca="false">C9+D9+E9</f>
        <v>1620</v>
      </c>
      <c r="G9" s="8" t="n">
        <f aca="false">B9-F9</f>
        <v>880</v>
      </c>
      <c r="H9" s="8" t="n">
        <v>750</v>
      </c>
    </row>
    <row r="10" customFormat="false" ht="30" hidden="false" customHeight="true" outlineLevel="0" collapsed="false">
      <c r="A10" s="7" t="s">
        <v>25</v>
      </c>
      <c r="B10" s="8" t="n">
        <v>2500</v>
      </c>
      <c r="C10" s="8" t="n">
        <v>460</v>
      </c>
      <c r="D10" s="8" t="n">
        <v>570</v>
      </c>
      <c r="E10" s="8" t="n">
        <v>590</v>
      </c>
      <c r="F10" s="8" t="n">
        <f aca="false">C10+D10+E10</f>
        <v>1620</v>
      </c>
      <c r="G10" s="8" t="n">
        <f aca="false">B10-F10</f>
        <v>880</v>
      </c>
      <c r="H10" s="8" t="n">
        <v>710</v>
      </c>
    </row>
    <row r="11" customFormat="false" ht="30" hidden="false" customHeight="true" outlineLevel="0" collapsed="false">
      <c r="A11" s="7" t="s">
        <v>26</v>
      </c>
      <c r="B11" s="8" t="n">
        <v>4900</v>
      </c>
      <c r="C11" s="8" t="n">
        <v>1050</v>
      </c>
      <c r="D11" s="8" t="n">
        <v>1090</v>
      </c>
      <c r="E11" s="8" t="n">
        <v>1010</v>
      </c>
      <c r="F11" s="8" t="n">
        <f aca="false">C11+D11+E11</f>
        <v>3150</v>
      </c>
      <c r="G11" s="8" t="n">
        <f aca="false">B11-F11</f>
        <v>1750</v>
      </c>
      <c r="H11" s="8" t="n">
        <v>400</v>
      </c>
    </row>
    <row r="12" customFormat="false" ht="30" hidden="false" customHeight="true" outlineLevel="0" collapsed="false">
      <c r="A12" s="7" t="s">
        <v>27</v>
      </c>
      <c r="B12" s="8" t="n">
        <v>7500</v>
      </c>
      <c r="C12" s="8" t="n">
        <v>1830</v>
      </c>
      <c r="D12" s="8" t="n">
        <v>1650</v>
      </c>
      <c r="E12" s="8" t="n">
        <v>1550</v>
      </c>
      <c r="F12" s="8" t="n">
        <f aca="false">C12+D12+E12</f>
        <v>5030</v>
      </c>
      <c r="G12" s="8" t="n">
        <f aca="false">B12-F12</f>
        <v>2470</v>
      </c>
      <c r="H12" s="8" t="n">
        <v>400</v>
      </c>
    </row>
    <row r="13" customFormat="false" ht="30" hidden="false" customHeight="true" outlineLevel="0" collapsed="false">
      <c r="A13" s="7" t="s">
        <v>28</v>
      </c>
      <c r="B13" s="8" t="n">
        <v>13200</v>
      </c>
      <c r="C13" s="8" t="n">
        <v>3420</v>
      </c>
      <c r="D13" s="8" t="n">
        <v>2880</v>
      </c>
      <c r="E13" s="8" t="n">
        <v>2600</v>
      </c>
      <c r="F13" s="8" t="n">
        <f aca="false">C13+D13+E13</f>
        <v>8900</v>
      </c>
      <c r="G13" s="8" t="n">
        <f aca="false">B13-F13</f>
        <v>4300</v>
      </c>
      <c r="H13" s="8" t="n">
        <v>400</v>
      </c>
    </row>
    <row r="14" customFormat="false" ht="30" hidden="false" customHeight="true" outlineLevel="0" collapsed="false">
      <c r="A14" s="7" t="s">
        <v>29</v>
      </c>
      <c r="B14" s="8" t="n">
        <v>9500</v>
      </c>
      <c r="C14" s="8" t="n">
        <v>2350</v>
      </c>
      <c r="D14" s="8" t="n">
        <v>2210</v>
      </c>
      <c r="E14" s="8" t="n">
        <v>2340</v>
      </c>
      <c r="F14" s="8" t="n">
        <f aca="false">C14+D14+E14</f>
        <v>6900</v>
      </c>
      <c r="G14" s="8" t="n">
        <f aca="false">B14-F14</f>
        <v>2600</v>
      </c>
      <c r="H14" s="8" t="n">
        <v>400</v>
      </c>
    </row>
    <row r="15" customFormat="false" ht="30" hidden="false" customHeight="true" outlineLevel="0" collapsed="false">
      <c r="A15" s="7" t="s">
        <v>30</v>
      </c>
      <c r="B15" s="8" t="n">
        <v>4600</v>
      </c>
      <c r="C15" s="8" t="n">
        <v>910</v>
      </c>
      <c r="D15" s="8" t="n">
        <v>1000</v>
      </c>
      <c r="E15" s="8" t="n">
        <v>960</v>
      </c>
      <c r="F15" s="8" t="n">
        <f aca="false">C15+D15+E15</f>
        <v>2870</v>
      </c>
      <c r="G15" s="8" t="n">
        <f aca="false">B15-F15</f>
        <v>1730</v>
      </c>
      <c r="H15" s="8" t="n">
        <v>400</v>
      </c>
    </row>
    <row r="16" customFormat="false" ht="30" hidden="false" customHeight="true" outlineLevel="0" collapsed="false">
      <c r="A16" s="7" t="s">
        <v>31</v>
      </c>
      <c r="B16" s="8" t="n">
        <v>1600</v>
      </c>
      <c r="C16" s="8" t="n">
        <v>280</v>
      </c>
      <c r="D16" s="8" t="n">
        <v>300</v>
      </c>
      <c r="E16" s="8" t="n">
        <v>370</v>
      </c>
      <c r="F16" s="8" t="n">
        <f aca="false">C16+D16+E16</f>
        <v>950</v>
      </c>
      <c r="G16" s="8" t="n">
        <f aca="false">B16-F16</f>
        <v>650</v>
      </c>
      <c r="H16" s="8" t="n">
        <v>560</v>
      </c>
    </row>
  </sheetData>
  <autoFilter ref="A4:H16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45"/>
    <col collapsed="false" customWidth="true" hidden="false" outlineLevel="0" max="4" min="4" style="1" width="14"/>
    <col collapsed="false" customWidth="true" hidden="false" outlineLevel="0" max="5" min="5" style="1" width="45"/>
    <col collapsed="false" customWidth="true" hidden="false" outlineLevel="0" max="6" min="6" style="1" width="14"/>
    <col collapsed="false" customWidth="true" hidden="false" outlineLevel="0" max="7" min="7" style="1" width="19.6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  <c r="G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  <c r="G3" s="5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9" t="s">
        <v>40</v>
      </c>
      <c r="G4" s="6" t="s">
        <v>1</v>
      </c>
    </row>
    <row r="5" customFormat="false" ht="48" hidden="false" customHeight="true" outlineLevel="0" collapsed="false">
      <c r="A5" s="10" t="s">
        <v>41</v>
      </c>
      <c r="B5" s="7" t="s">
        <v>42</v>
      </c>
      <c r="C5" s="7" t="s">
        <v>43</v>
      </c>
      <c r="D5" s="7" t="s">
        <v>44</v>
      </c>
      <c r="E5" s="10" t="s">
        <v>45</v>
      </c>
      <c r="F5" s="10" t="s">
        <v>46</v>
      </c>
      <c r="G5" s="7" t="s">
        <v>47</v>
      </c>
    </row>
    <row r="6" customFormat="false" ht="48" hidden="false" customHeight="true" outlineLevel="0" collapsed="false">
      <c r="A6" s="10" t="s">
        <v>48</v>
      </c>
      <c r="B6" s="7" t="s">
        <v>49</v>
      </c>
      <c r="C6" s="7" t="s">
        <v>50</v>
      </c>
      <c r="D6" s="7" t="s">
        <v>51</v>
      </c>
      <c r="E6" s="10" t="s">
        <v>52</v>
      </c>
      <c r="F6" s="10" t="s">
        <v>53</v>
      </c>
      <c r="G6" s="7" t="s">
        <v>54</v>
      </c>
    </row>
    <row r="7" customFormat="false" ht="31.5" hidden="false" customHeight="true" outlineLevel="0" collapsed="false">
      <c r="A7" s="10" t="s">
        <v>55</v>
      </c>
      <c r="B7" s="7" t="s">
        <v>56</v>
      </c>
      <c r="C7" s="7" t="s">
        <v>57</v>
      </c>
      <c r="D7" s="7" t="s">
        <v>58</v>
      </c>
      <c r="E7" s="10" t="s">
        <v>59</v>
      </c>
      <c r="F7" s="10" t="s">
        <v>53</v>
      </c>
      <c r="G7" s="7" t="s">
        <v>60</v>
      </c>
    </row>
    <row r="8" customFormat="false" ht="48" hidden="false" customHeight="true" outlineLevel="0" collapsed="false">
      <c r="A8" s="10" t="s">
        <v>61</v>
      </c>
      <c r="B8" s="7" t="s">
        <v>62</v>
      </c>
      <c r="C8" s="7" t="s">
        <v>63</v>
      </c>
      <c r="D8" s="10" t="s">
        <v>64</v>
      </c>
      <c r="E8" s="10" t="s">
        <v>65</v>
      </c>
      <c r="F8" s="10" t="s">
        <v>66</v>
      </c>
      <c r="G8" s="10" t="s">
        <v>67</v>
      </c>
    </row>
    <row r="9" customFormat="false" ht="48" hidden="false" customHeight="true" outlineLevel="0" collapsed="false">
      <c r="A9" s="10" t="s">
        <v>68</v>
      </c>
      <c r="B9" s="7" t="s">
        <v>69</v>
      </c>
      <c r="C9" s="7" t="s">
        <v>70</v>
      </c>
      <c r="D9" s="7" t="s">
        <v>71</v>
      </c>
      <c r="E9" s="10" t="s">
        <v>72</v>
      </c>
      <c r="F9" s="10" t="s">
        <v>73</v>
      </c>
      <c r="G9" s="7" t="s">
        <v>74</v>
      </c>
    </row>
    <row r="10" customFormat="false" ht="31.5" hidden="false" customHeight="true" outlineLevel="0" collapsed="false">
      <c r="A10" s="10" t="s">
        <v>75</v>
      </c>
      <c r="B10" s="7" t="s">
        <v>76</v>
      </c>
      <c r="C10" s="7" t="s">
        <v>77</v>
      </c>
      <c r="D10" s="7" t="s">
        <v>78</v>
      </c>
      <c r="E10" s="10" t="s">
        <v>79</v>
      </c>
      <c r="F10" s="10" t="s">
        <v>80</v>
      </c>
      <c r="G10" s="7" t="s">
        <v>81</v>
      </c>
    </row>
    <row r="11" customFormat="false" ht="48" hidden="false" customHeight="true" outlineLevel="0" collapsed="false">
      <c r="A11" s="10" t="s">
        <v>82</v>
      </c>
      <c r="B11" s="7" t="s">
        <v>83</v>
      </c>
      <c r="C11" s="10" t="s">
        <v>84</v>
      </c>
      <c r="D11" s="7" t="s">
        <v>85</v>
      </c>
      <c r="E11" s="10" t="s">
        <v>65</v>
      </c>
      <c r="F11" s="10" t="s">
        <v>86</v>
      </c>
      <c r="G11" s="7" t="s">
        <v>74</v>
      </c>
    </row>
    <row r="12" customFormat="false" ht="31.5" hidden="false" customHeight="true" outlineLevel="0" collapsed="false">
      <c r="A12" s="10" t="s">
        <v>87</v>
      </c>
      <c r="B12" s="7" t="s">
        <v>88</v>
      </c>
      <c r="C12" s="7" t="s">
        <v>89</v>
      </c>
      <c r="D12" s="7" t="s">
        <v>90</v>
      </c>
      <c r="E12" s="10" t="s">
        <v>91</v>
      </c>
      <c r="F12" s="10" t="s">
        <v>92</v>
      </c>
      <c r="G12" s="7" t="s">
        <v>93</v>
      </c>
    </row>
    <row r="13" customFormat="false" ht="31.5" hidden="false" customHeight="true" outlineLevel="0" collapsed="false">
      <c r="A13" s="10" t="s">
        <v>94</v>
      </c>
      <c r="B13" s="7" t="s">
        <v>95</v>
      </c>
      <c r="C13" s="7" t="s">
        <v>96</v>
      </c>
      <c r="D13" s="7" t="s">
        <v>97</v>
      </c>
      <c r="E13" s="10" t="s">
        <v>98</v>
      </c>
      <c r="F13" s="10" t="s">
        <v>46</v>
      </c>
      <c r="G13" s="7" t="s">
        <v>99</v>
      </c>
    </row>
    <row r="14" customFormat="false" ht="31.5" hidden="false" customHeight="true" outlineLevel="0" collapsed="false">
      <c r="A14" s="10" t="s">
        <v>100</v>
      </c>
      <c r="B14" s="7" t="s">
        <v>101</v>
      </c>
      <c r="C14" s="7" t="s">
        <v>102</v>
      </c>
      <c r="D14" s="7" t="s">
        <v>103</v>
      </c>
      <c r="E14" s="10" t="s">
        <v>104</v>
      </c>
      <c r="F14" s="10" t="s">
        <v>92</v>
      </c>
      <c r="G14" s="7" t="s">
        <v>105</v>
      </c>
    </row>
    <row r="15" customFormat="false" ht="31.5" hidden="false" customHeight="true" outlineLevel="0" collapsed="false">
      <c r="A15" s="10" t="s">
        <v>106</v>
      </c>
      <c r="B15" s="7" t="s">
        <v>107</v>
      </c>
      <c r="C15" s="7" t="s">
        <v>108</v>
      </c>
      <c r="D15" s="7" t="s">
        <v>58</v>
      </c>
      <c r="E15" s="10" t="s">
        <v>59</v>
      </c>
      <c r="F15" s="10" t="s">
        <v>66</v>
      </c>
      <c r="G15" s="7" t="s">
        <v>109</v>
      </c>
    </row>
    <row r="16" customFormat="false" ht="31.5" hidden="false" customHeight="true" outlineLevel="0" collapsed="false">
      <c r="A16" s="10" t="s">
        <v>110</v>
      </c>
      <c r="B16" s="7" t="s">
        <v>111</v>
      </c>
      <c r="C16" s="7" t="s">
        <v>112</v>
      </c>
      <c r="D16" s="7" t="s">
        <v>113</v>
      </c>
      <c r="E16" s="10" t="s">
        <v>114</v>
      </c>
      <c r="F16" s="10" t="s">
        <v>92</v>
      </c>
      <c r="G16" s="7" t="s">
        <v>115</v>
      </c>
    </row>
    <row r="17" customFormat="false" ht="31.5" hidden="false" customHeight="true" outlineLevel="0" collapsed="false">
      <c r="A17" s="10" t="s">
        <v>116</v>
      </c>
      <c r="B17" s="7" t="s">
        <v>117</v>
      </c>
      <c r="C17" s="7" t="s">
        <v>118</v>
      </c>
      <c r="D17" s="7" t="s">
        <v>119</v>
      </c>
      <c r="E17" s="10" t="s">
        <v>120</v>
      </c>
      <c r="F17" s="10" t="s">
        <v>121</v>
      </c>
      <c r="G17" s="7" t="s">
        <v>74</v>
      </c>
    </row>
    <row r="18" customFormat="false" ht="48" hidden="false" customHeight="true" outlineLevel="0" collapsed="false">
      <c r="A18" s="10" t="s">
        <v>122</v>
      </c>
      <c r="B18" s="7" t="s">
        <v>123</v>
      </c>
      <c r="C18" s="7" t="s">
        <v>124</v>
      </c>
      <c r="D18" s="10" t="s">
        <v>125</v>
      </c>
      <c r="E18" s="10" t="s">
        <v>126</v>
      </c>
      <c r="F18" s="10" t="s">
        <v>46</v>
      </c>
      <c r="G18" s="7" t="s">
        <v>127</v>
      </c>
    </row>
    <row r="19" customFormat="false" ht="31.5" hidden="false" customHeight="true" outlineLevel="0" collapsed="false">
      <c r="A19" s="10" t="s">
        <v>128</v>
      </c>
      <c r="B19" s="7" t="s">
        <v>129</v>
      </c>
      <c r="C19" s="7" t="s">
        <v>130</v>
      </c>
      <c r="D19" s="7" t="s">
        <v>131</v>
      </c>
      <c r="E19" s="10" t="s">
        <v>132</v>
      </c>
      <c r="F19" s="10" t="s">
        <v>73</v>
      </c>
      <c r="G19" s="7" t="s">
        <v>133</v>
      </c>
    </row>
    <row r="20" customFormat="false" ht="31.5" hidden="false" customHeight="true" outlineLevel="0" collapsed="false">
      <c r="A20" s="10" t="s">
        <v>134</v>
      </c>
      <c r="B20" s="7" t="s">
        <v>135</v>
      </c>
      <c r="C20" s="7" t="s">
        <v>136</v>
      </c>
      <c r="D20" s="7" t="s">
        <v>137</v>
      </c>
      <c r="E20" s="10" t="s">
        <v>138</v>
      </c>
      <c r="F20" s="10" t="s">
        <v>80</v>
      </c>
      <c r="G20" s="7" t="s">
        <v>139</v>
      </c>
    </row>
    <row r="21" customFormat="false" ht="48" hidden="false" customHeight="true" outlineLevel="0" collapsed="false">
      <c r="A21" s="10" t="s">
        <v>140</v>
      </c>
      <c r="B21" s="7" t="s">
        <v>141</v>
      </c>
      <c r="C21" s="7" t="s">
        <v>142</v>
      </c>
      <c r="D21" s="7" t="s">
        <v>143</v>
      </c>
      <c r="E21" s="10" t="s">
        <v>132</v>
      </c>
      <c r="F21" s="10" t="s">
        <v>73</v>
      </c>
      <c r="G21" s="7" t="s">
        <v>144</v>
      </c>
    </row>
    <row r="22" customFormat="false" ht="31.5" hidden="false" customHeight="true" outlineLevel="0" collapsed="false">
      <c r="A22" s="10" t="s">
        <v>145</v>
      </c>
      <c r="B22" s="7" t="s">
        <v>146</v>
      </c>
      <c r="C22" s="7" t="s">
        <v>147</v>
      </c>
      <c r="D22" s="7" t="s">
        <v>148</v>
      </c>
      <c r="E22" s="10" t="s">
        <v>98</v>
      </c>
      <c r="F22" s="10" t="s">
        <v>92</v>
      </c>
      <c r="G22" s="7" t="s">
        <v>149</v>
      </c>
    </row>
  </sheetData>
  <autoFilter ref="A4:G22"/>
  <mergeCells count="3">
    <mergeCell ref="A1:G1"/>
    <mergeCell ref="A2:G2"/>
    <mergeCell ref="A3:G3"/>
  </mergeCells>
  <dataValidations count="1">
    <dataValidation allowBlank="false" errorStyle="stop" operator="between" showDropDown="false" showErrorMessage="false" showInputMessage="false" sqref="G5:G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43.4"/>
    <col collapsed="false" customWidth="true" hidden="false" outlineLevel="0" max="4" min="4" style="1" width="45"/>
    <col collapsed="false" customWidth="true" hidden="false" outlineLevel="0" max="6" min="5" style="1" width="14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</row>
    <row r="4" customFormat="false" ht="31.5" hidden="false" customHeight="true" outlineLevel="0" collapsed="false">
      <c r="A4" s="9" t="s">
        <v>150</v>
      </c>
      <c r="B4" s="6" t="s">
        <v>36</v>
      </c>
      <c r="C4" s="6" t="s">
        <v>151</v>
      </c>
      <c r="D4" s="6" t="s">
        <v>152</v>
      </c>
      <c r="E4" s="6" t="s">
        <v>153</v>
      </c>
      <c r="F4" s="6" t="s">
        <v>1</v>
      </c>
    </row>
    <row r="5" customFormat="false" ht="31.5" hidden="false" customHeight="true" outlineLevel="0" collapsed="false">
      <c r="A5" s="10" t="s">
        <v>154</v>
      </c>
      <c r="B5" s="7" t="s">
        <v>155</v>
      </c>
      <c r="C5" s="7" t="s">
        <v>156</v>
      </c>
      <c r="D5" s="7" t="s">
        <v>157</v>
      </c>
      <c r="E5" s="7" t="s">
        <v>158</v>
      </c>
      <c r="F5" s="7" t="s">
        <v>159</v>
      </c>
    </row>
    <row r="6" customFormat="false" ht="31.5" hidden="false" customHeight="true" outlineLevel="0" collapsed="false">
      <c r="A6" s="10" t="s">
        <v>160</v>
      </c>
      <c r="B6" s="7" t="s">
        <v>161</v>
      </c>
      <c r="C6" s="7" t="s">
        <v>162</v>
      </c>
      <c r="D6" s="7" t="s">
        <v>163</v>
      </c>
      <c r="E6" s="7" t="s">
        <v>164</v>
      </c>
      <c r="F6" s="7" t="s">
        <v>159</v>
      </c>
    </row>
    <row r="7" customFormat="false" ht="31.5" hidden="false" customHeight="true" outlineLevel="0" collapsed="false">
      <c r="A7" s="10" t="s">
        <v>165</v>
      </c>
      <c r="B7" s="7" t="s">
        <v>166</v>
      </c>
      <c r="C7" s="7" t="s">
        <v>167</v>
      </c>
      <c r="D7" s="7" t="s">
        <v>168</v>
      </c>
      <c r="E7" s="10" t="s">
        <v>169</v>
      </c>
      <c r="F7" s="7" t="s">
        <v>159</v>
      </c>
    </row>
    <row r="8" customFormat="false" ht="31.5" hidden="false" customHeight="true" outlineLevel="0" collapsed="false">
      <c r="A8" s="10" t="s">
        <v>170</v>
      </c>
      <c r="B8" s="7" t="s">
        <v>171</v>
      </c>
      <c r="C8" s="7" t="s">
        <v>172</v>
      </c>
      <c r="D8" s="7" t="s">
        <v>173</v>
      </c>
      <c r="E8" s="7" t="s">
        <v>174</v>
      </c>
      <c r="F8" s="7" t="s">
        <v>175</v>
      </c>
    </row>
    <row r="9" customFormat="false" ht="31.5" hidden="false" customHeight="true" outlineLevel="0" collapsed="false">
      <c r="A9" s="10" t="s">
        <v>176</v>
      </c>
      <c r="B9" s="7" t="s">
        <v>177</v>
      </c>
      <c r="C9" s="7" t="s">
        <v>178</v>
      </c>
      <c r="D9" s="7" t="s">
        <v>179</v>
      </c>
      <c r="E9" s="10" t="s">
        <v>180</v>
      </c>
      <c r="F9" s="7" t="s">
        <v>175</v>
      </c>
    </row>
    <row r="10" customFormat="false" ht="31.5" hidden="false" customHeight="true" outlineLevel="0" collapsed="false">
      <c r="A10" s="10" t="s">
        <v>181</v>
      </c>
      <c r="B10" s="7" t="s">
        <v>182</v>
      </c>
      <c r="C10" s="7" t="s">
        <v>183</v>
      </c>
      <c r="D10" s="10" t="s">
        <v>184</v>
      </c>
      <c r="E10" s="10" t="s">
        <v>185</v>
      </c>
      <c r="F10" s="7" t="s">
        <v>186</v>
      </c>
    </row>
    <row r="11" customFormat="false" ht="31.5" hidden="false" customHeight="true" outlineLevel="0" collapsed="false">
      <c r="A11" s="10" t="s">
        <v>187</v>
      </c>
      <c r="B11" s="7" t="s">
        <v>188</v>
      </c>
      <c r="C11" s="7" t="s">
        <v>189</v>
      </c>
      <c r="D11" s="7" t="s">
        <v>190</v>
      </c>
      <c r="E11" s="7" t="s">
        <v>191</v>
      </c>
      <c r="F11" s="7" t="s">
        <v>192</v>
      </c>
    </row>
    <row r="12" customFormat="false" ht="31.5" hidden="false" customHeight="true" outlineLevel="0" collapsed="false">
      <c r="A12" s="10" t="s">
        <v>193</v>
      </c>
      <c r="B12" s="7" t="s">
        <v>194</v>
      </c>
      <c r="C12" s="7" t="s">
        <v>195</v>
      </c>
      <c r="D12" s="7" t="s">
        <v>196</v>
      </c>
      <c r="E12" s="7" t="s">
        <v>197</v>
      </c>
      <c r="F12" s="7" t="s">
        <v>186</v>
      </c>
    </row>
    <row r="13" customFormat="false" ht="79.5" hidden="false" customHeight="true" outlineLevel="0" collapsed="false">
      <c r="A13" s="11" t="s">
        <v>198</v>
      </c>
      <c r="B13" s="12" t="s">
        <v>199</v>
      </c>
      <c r="C13" s="12" t="s">
        <v>200</v>
      </c>
      <c r="D13" s="12" t="s">
        <v>201</v>
      </c>
      <c r="E13" s="12" t="s">
        <v>164</v>
      </c>
      <c r="F13" s="12" t="s">
        <v>175</v>
      </c>
    </row>
  </sheetData>
  <autoFilter ref="A4:F13"/>
  <mergeCells count="3">
    <mergeCell ref="A1:F1"/>
    <mergeCell ref="A2:F2"/>
    <mergeCell ref="A3:F3"/>
  </mergeCells>
  <dataValidations count="1">
    <dataValidation allowBlank="false" errorStyle="stop" operator="between" showDropDown="false" showErrorMessage="false" showInputMessage="false" sqref="F5:F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22.4"/>
    <col collapsed="false" customWidth="true" hidden="false" outlineLevel="0" max="6" min="5" style="1" width="14"/>
    <col collapsed="false" customWidth="true" hidden="false" outlineLevel="0" max="7" min="7" style="1" width="15.39"/>
    <col collapsed="false" customWidth="true" hidden="false" outlineLevel="0" max="8" min="8" style="1" width="18.2"/>
    <col collapsed="false" customWidth="true" hidden="false" outlineLevel="0" max="9" min="9" style="1" width="14"/>
    <col collapsed="false" customWidth="true" hidden="false" outlineLevel="0" max="11" min="10" style="1" width="18.2"/>
    <col collapsed="false" customWidth="true" hidden="false" outlineLevel="0" max="19" min="12" style="1" width="14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31.5" hidden="false" customHeight="true" outlineLevel="0" collapsed="false">
      <c r="A4" s="6" t="s">
        <v>202</v>
      </c>
      <c r="B4" s="9" t="s">
        <v>203</v>
      </c>
      <c r="C4" s="9" t="s">
        <v>204</v>
      </c>
      <c r="D4" s="9" t="s">
        <v>205</v>
      </c>
      <c r="E4" s="9" t="s">
        <v>206</v>
      </c>
      <c r="F4" s="9" t="s">
        <v>207</v>
      </c>
      <c r="G4" s="9" t="s">
        <v>208</v>
      </c>
      <c r="H4" s="9" t="s">
        <v>209</v>
      </c>
      <c r="I4" s="9" t="s">
        <v>210</v>
      </c>
      <c r="J4" s="9" t="s">
        <v>211</v>
      </c>
      <c r="K4" s="9" t="s">
        <v>212</v>
      </c>
      <c r="L4" s="9" t="s">
        <v>213</v>
      </c>
      <c r="M4" s="9" t="s">
        <v>214</v>
      </c>
      <c r="N4" s="9" t="s">
        <v>215</v>
      </c>
      <c r="O4" s="9" t="s">
        <v>216</v>
      </c>
      <c r="P4" s="9" t="s">
        <v>217</v>
      </c>
      <c r="Q4" s="9" t="s">
        <v>218</v>
      </c>
      <c r="R4" s="9" t="s">
        <v>219</v>
      </c>
      <c r="S4" s="9" t="s">
        <v>220</v>
      </c>
    </row>
    <row r="5" customFormat="false" ht="31.5" hidden="false" customHeight="true" outlineLevel="0" collapsed="false">
      <c r="A5" s="8" t="n">
        <v>0</v>
      </c>
      <c r="B5" s="8" t="n">
        <v>0</v>
      </c>
      <c r="C5" s="7" t="s">
        <v>20</v>
      </c>
      <c r="D5" s="10" t="s">
        <v>221</v>
      </c>
      <c r="E5" s="8" t="n">
        <v>3300</v>
      </c>
      <c r="F5" s="8" t="n">
        <v>630</v>
      </c>
      <c r="G5" s="8" t="n">
        <v>500</v>
      </c>
      <c r="H5" s="8" t="n">
        <v>60</v>
      </c>
      <c r="I5" s="8" t="n">
        <v>100</v>
      </c>
      <c r="J5" s="8" t="n">
        <v>90</v>
      </c>
      <c r="K5" s="8" t="n">
        <v>50</v>
      </c>
      <c r="L5" s="8" t="n">
        <v>760</v>
      </c>
      <c r="M5" s="8" t="n">
        <v>400</v>
      </c>
      <c r="N5" s="8" t="n">
        <v>180</v>
      </c>
      <c r="O5" s="8" t="n">
        <v>50000</v>
      </c>
      <c r="P5" s="8" t="n">
        <v>12000</v>
      </c>
      <c r="Q5" s="8" t="n">
        <v>5000</v>
      </c>
      <c r="R5" s="8" t="n">
        <v>3000</v>
      </c>
      <c r="S5" s="8" t="n">
        <v>1000</v>
      </c>
    </row>
    <row r="6" customFormat="false" ht="31.5" hidden="false" customHeight="true" outlineLevel="0" collapsed="false">
      <c r="A6" s="8" t="n">
        <v>1</v>
      </c>
      <c r="B6" s="8" t="n">
        <v>1</v>
      </c>
      <c r="C6" s="7" t="s">
        <v>21</v>
      </c>
      <c r="D6" s="10" t="s">
        <v>222</v>
      </c>
      <c r="E6" s="8" t="n">
        <v>3100</v>
      </c>
      <c r="F6" s="8" t="n">
        <v>600</v>
      </c>
      <c r="G6" s="8" t="n">
        <v>400</v>
      </c>
      <c r="H6" s="8" t="n">
        <v>30</v>
      </c>
      <c r="I6" s="8" t="n">
        <v>100</v>
      </c>
      <c r="J6" s="8" t="n">
        <v>90</v>
      </c>
      <c r="K6" s="8" t="n">
        <v>50</v>
      </c>
      <c r="L6" s="8" t="n">
        <v>710</v>
      </c>
      <c r="M6" s="8" t="n">
        <v>480</v>
      </c>
      <c r="N6" s="8" t="n">
        <v>170</v>
      </c>
      <c r="O6" s="8" t="n">
        <v>47000</v>
      </c>
      <c r="P6" s="8" t="n">
        <v>6000</v>
      </c>
      <c r="Q6" s="8" t="n">
        <v>5000</v>
      </c>
      <c r="R6" s="8" t="n">
        <v>3000</v>
      </c>
      <c r="S6" s="8" t="n">
        <v>1000</v>
      </c>
    </row>
    <row r="7" customFormat="false" ht="31.5" hidden="false" customHeight="true" outlineLevel="0" collapsed="false">
      <c r="A7" s="8" t="n">
        <v>2</v>
      </c>
      <c r="B7" s="8" t="n">
        <v>2</v>
      </c>
      <c r="C7" s="7" t="s">
        <v>22</v>
      </c>
      <c r="D7" s="10" t="s">
        <v>223</v>
      </c>
      <c r="E7" s="8" t="n">
        <v>3000</v>
      </c>
      <c r="F7" s="8" t="n">
        <v>580</v>
      </c>
      <c r="G7" s="8" t="n">
        <v>400</v>
      </c>
      <c r="H7" s="8" t="n">
        <v>0</v>
      </c>
      <c r="I7" s="8" t="n">
        <v>100</v>
      </c>
      <c r="J7" s="8" t="n">
        <v>60</v>
      </c>
      <c r="K7" s="8" t="n">
        <v>50</v>
      </c>
      <c r="L7" s="8" t="n">
        <v>690</v>
      </c>
      <c r="M7" s="8" t="n">
        <v>520</v>
      </c>
      <c r="N7" s="8" t="n">
        <v>160</v>
      </c>
      <c r="O7" s="8" t="n">
        <v>46000</v>
      </c>
      <c r="P7" s="8" t="n">
        <v>0</v>
      </c>
      <c r="Q7" s="8" t="n">
        <v>5000</v>
      </c>
      <c r="R7" s="8" t="n">
        <v>2000</v>
      </c>
      <c r="S7" s="8" t="n">
        <v>1000</v>
      </c>
    </row>
    <row r="8" customFormat="false" ht="31.5" hidden="false" customHeight="true" outlineLevel="0" collapsed="false">
      <c r="A8" s="8" t="n">
        <v>3</v>
      </c>
      <c r="B8" s="8" t="n">
        <v>3</v>
      </c>
      <c r="C8" s="7" t="s">
        <v>23</v>
      </c>
      <c r="D8" s="10" t="s">
        <v>224</v>
      </c>
      <c r="E8" s="8" t="n">
        <v>2000</v>
      </c>
      <c r="F8" s="8" t="n">
        <v>360</v>
      </c>
      <c r="G8" s="8" t="n">
        <v>300</v>
      </c>
      <c r="H8" s="8" t="n">
        <v>0</v>
      </c>
      <c r="I8" s="8" t="n">
        <v>60</v>
      </c>
      <c r="J8" s="8" t="n">
        <v>60</v>
      </c>
      <c r="K8" s="8" t="n">
        <v>50</v>
      </c>
      <c r="L8" s="8" t="n">
        <v>450</v>
      </c>
      <c r="M8" s="8" t="n">
        <v>670</v>
      </c>
      <c r="N8" s="8" t="n">
        <v>110</v>
      </c>
      <c r="O8" s="8" t="n">
        <v>31000</v>
      </c>
      <c r="P8" s="8" t="n">
        <v>0</v>
      </c>
      <c r="Q8" s="8" t="n">
        <v>3000</v>
      </c>
      <c r="R8" s="8" t="n">
        <v>2000</v>
      </c>
      <c r="S8" s="8" t="n">
        <v>1000</v>
      </c>
    </row>
    <row r="9" customFormat="false" ht="31.5" hidden="false" customHeight="true" outlineLevel="0" collapsed="false">
      <c r="A9" s="8" t="n">
        <v>4</v>
      </c>
      <c r="B9" s="8" t="n">
        <v>4</v>
      </c>
      <c r="C9" s="7" t="s">
        <v>24</v>
      </c>
      <c r="D9" s="10" t="s">
        <v>225</v>
      </c>
      <c r="E9" s="8" t="n">
        <v>2500</v>
      </c>
      <c r="F9" s="8" t="n">
        <v>460</v>
      </c>
      <c r="G9" s="8" t="n">
        <v>400</v>
      </c>
      <c r="H9" s="8" t="n">
        <v>0</v>
      </c>
      <c r="I9" s="8" t="n">
        <v>80</v>
      </c>
      <c r="J9" s="8" t="n">
        <v>60</v>
      </c>
      <c r="K9" s="8" t="n">
        <v>50</v>
      </c>
      <c r="L9" s="8" t="n">
        <v>570</v>
      </c>
      <c r="M9" s="8" t="n">
        <v>750</v>
      </c>
      <c r="N9" s="8" t="n">
        <v>140</v>
      </c>
      <c r="O9" s="8" t="n">
        <v>38000</v>
      </c>
      <c r="P9" s="8" t="n">
        <v>0</v>
      </c>
      <c r="Q9" s="8" t="n">
        <v>4000</v>
      </c>
      <c r="R9" s="8" t="n">
        <v>2000</v>
      </c>
      <c r="S9" s="8" t="n">
        <v>1000</v>
      </c>
    </row>
    <row r="10" customFormat="false" ht="31.5" hidden="false" customHeight="true" outlineLevel="0" collapsed="false">
      <c r="A10" s="8" t="n">
        <v>5</v>
      </c>
      <c r="B10" s="8" t="n">
        <v>5</v>
      </c>
      <c r="C10" s="7" t="s">
        <v>25</v>
      </c>
      <c r="D10" s="10" t="s">
        <v>226</v>
      </c>
      <c r="E10" s="8" t="n">
        <v>2500</v>
      </c>
      <c r="F10" s="8" t="n">
        <v>460</v>
      </c>
      <c r="G10" s="8" t="n">
        <v>400</v>
      </c>
      <c r="H10" s="8" t="n">
        <v>0</v>
      </c>
      <c r="I10" s="8" t="n">
        <v>80</v>
      </c>
      <c r="J10" s="8" t="n">
        <v>60</v>
      </c>
      <c r="K10" s="8" t="n">
        <v>50</v>
      </c>
      <c r="L10" s="8" t="n">
        <v>570</v>
      </c>
      <c r="M10" s="8" t="n">
        <v>710</v>
      </c>
      <c r="N10" s="8" t="n">
        <v>140</v>
      </c>
      <c r="O10" s="8" t="n">
        <v>38000</v>
      </c>
      <c r="P10" s="8" t="n">
        <v>0</v>
      </c>
      <c r="Q10" s="8" t="n">
        <v>4000</v>
      </c>
      <c r="R10" s="8" t="n">
        <v>2000</v>
      </c>
      <c r="S10" s="8" t="n">
        <v>1000</v>
      </c>
    </row>
    <row r="11" customFormat="false" ht="31.5" hidden="false" customHeight="true" outlineLevel="0" collapsed="false">
      <c r="A11" s="8" t="n">
        <v>6</v>
      </c>
      <c r="B11" s="8" t="n">
        <v>6</v>
      </c>
      <c r="C11" s="7" t="s">
        <v>26</v>
      </c>
      <c r="D11" s="10" t="s">
        <v>227</v>
      </c>
      <c r="E11" s="8" t="n">
        <v>4900</v>
      </c>
      <c r="F11" s="8" t="n">
        <v>1050</v>
      </c>
      <c r="G11" s="8" t="n">
        <v>700</v>
      </c>
      <c r="H11" s="8" t="n">
        <v>60</v>
      </c>
      <c r="I11" s="8" t="n">
        <v>140</v>
      </c>
      <c r="J11" s="8" t="n">
        <v>120</v>
      </c>
      <c r="K11" s="8" t="n">
        <v>50</v>
      </c>
      <c r="L11" s="8" t="n">
        <v>1090</v>
      </c>
      <c r="M11" s="8" t="n">
        <v>400</v>
      </c>
      <c r="N11" s="8" t="n">
        <v>250</v>
      </c>
      <c r="O11" s="8" t="n">
        <v>75000</v>
      </c>
      <c r="P11" s="8" t="n">
        <v>12000</v>
      </c>
      <c r="Q11" s="8" t="n">
        <v>7000</v>
      </c>
      <c r="R11" s="8" t="n">
        <v>4000</v>
      </c>
      <c r="S11" s="8" t="n">
        <v>1000</v>
      </c>
    </row>
    <row r="12" customFormat="false" ht="31.5" hidden="false" customHeight="true" outlineLevel="0" collapsed="false">
      <c r="A12" s="8" t="n">
        <v>7</v>
      </c>
      <c r="B12" s="8" t="n">
        <v>7</v>
      </c>
      <c r="C12" s="7" t="s">
        <v>27</v>
      </c>
      <c r="D12" s="10" t="s">
        <v>228</v>
      </c>
      <c r="E12" s="8" t="n">
        <v>7500</v>
      </c>
      <c r="F12" s="8" t="n">
        <v>1830</v>
      </c>
      <c r="G12" s="8" t="n">
        <v>1100</v>
      </c>
      <c r="H12" s="8" t="n">
        <v>390</v>
      </c>
      <c r="I12" s="8" t="n">
        <v>220</v>
      </c>
      <c r="J12" s="8" t="n">
        <v>180</v>
      </c>
      <c r="K12" s="8" t="n">
        <v>50</v>
      </c>
      <c r="L12" s="8" t="n">
        <v>1650</v>
      </c>
      <c r="M12" s="8" t="n">
        <v>400</v>
      </c>
      <c r="N12" s="8" t="n">
        <v>380</v>
      </c>
      <c r="O12" s="8" t="n">
        <v>115000</v>
      </c>
      <c r="P12" s="8" t="n">
        <v>78000</v>
      </c>
      <c r="Q12" s="8" t="n">
        <v>11000</v>
      </c>
      <c r="R12" s="8" t="n">
        <v>6000</v>
      </c>
      <c r="S12" s="8" t="n">
        <v>1000</v>
      </c>
    </row>
    <row r="13" customFormat="false" ht="31.5" hidden="false" customHeight="true" outlineLevel="0" collapsed="false">
      <c r="A13" s="8" t="n">
        <v>8</v>
      </c>
      <c r="B13" s="8" t="n">
        <v>8</v>
      </c>
      <c r="C13" s="7" t="s">
        <v>28</v>
      </c>
      <c r="D13" s="10" t="s">
        <v>229</v>
      </c>
      <c r="E13" s="8" t="n">
        <v>13200</v>
      </c>
      <c r="F13" s="8" t="n">
        <v>3420</v>
      </c>
      <c r="G13" s="8" t="n">
        <v>1900</v>
      </c>
      <c r="H13" s="8" t="n">
        <v>750</v>
      </c>
      <c r="I13" s="8" t="n">
        <v>380</v>
      </c>
      <c r="J13" s="8" t="n">
        <v>270</v>
      </c>
      <c r="K13" s="8" t="n">
        <v>50</v>
      </c>
      <c r="L13" s="8" t="n">
        <v>2880</v>
      </c>
      <c r="M13" s="8" t="n">
        <v>400</v>
      </c>
      <c r="N13" s="8" t="n">
        <v>640</v>
      </c>
      <c r="O13" s="8" t="n">
        <v>202000</v>
      </c>
      <c r="P13" s="8" t="n">
        <v>150000</v>
      </c>
      <c r="Q13" s="8" t="n">
        <v>19000</v>
      </c>
      <c r="R13" s="8" t="n">
        <v>9000</v>
      </c>
      <c r="S13" s="8" t="n">
        <v>1000</v>
      </c>
    </row>
    <row r="14" customFormat="false" ht="31.5" hidden="false" customHeight="true" outlineLevel="0" collapsed="false">
      <c r="A14" s="8" t="n">
        <v>9</v>
      </c>
      <c r="B14" s="8" t="n">
        <v>9</v>
      </c>
      <c r="C14" s="7" t="s">
        <v>29</v>
      </c>
      <c r="D14" s="10" t="s">
        <v>230</v>
      </c>
      <c r="E14" s="8" t="n">
        <v>9500</v>
      </c>
      <c r="F14" s="8" t="n">
        <v>2350</v>
      </c>
      <c r="G14" s="8" t="n">
        <v>1330</v>
      </c>
      <c r="H14" s="8" t="n">
        <v>0</v>
      </c>
      <c r="I14" s="8" t="n">
        <v>300</v>
      </c>
      <c r="J14" s="8" t="n">
        <v>660</v>
      </c>
      <c r="K14" s="8" t="n">
        <v>50</v>
      </c>
      <c r="L14" s="8" t="n">
        <v>2210</v>
      </c>
      <c r="M14" s="8" t="n">
        <v>400</v>
      </c>
      <c r="N14" s="8" t="n">
        <v>480</v>
      </c>
      <c r="O14" s="8" t="n">
        <v>143000</v>
      </c>
      <c r="P14" s="8" t="n">
        <v>0</v>
      </c>
      <c r="Q14" s="8" t="n">
        <v>15000</v>
      </c>
      <c r="R14" s="8" t="n">
        <v>22000</v>
      </c>
      <c r="S14" s="8" t="n">
        <v>1000</v>
      </c>
    </row>
    <row r="15" customFormat="false" ht="31.5" hidden="false" customHeight="true" outlineLevel="0" collapsed="false">
      <c r="A15" s="8" t="n">
        <v>10</v>
      </c>
      <c r="B15" s="8" t="n">
        <v>10</v>
      </c>
      <c r="C15" s="7" t="s">
        <v>30</v>
      </c>
      <c r="D15" s="10" t="s">
        <v>231</v>
      </c>
      <c r="E15" s="8" t="n">
        <v>4600</v>
      </c>
      <c r="F15" s="8" t="n">
        <v>910</v>
      </c>
      <c r="G15" s="8" t="n">
        <v>700</v>
      </c>
      <c r="H15" s="8" t="n">
        <v>60</v>
      </c>
      <c r="I15" s="8" t="n">
        <v>120</v>
      </c>
      <c r="J15" s="8" t="n">
        <v>90</v>
      </c>
      <c r="K15" s="8" t="n">
        <v>50</v>
      </c>
      <c r="L15" s="8" t="n">
        <v>1000</v>
      </c>
      <c r="M15" s="8" t="n">
        <v>400</v>
      </c>
      <c r="N15" s="8" t="n">
        <v>240</v>
      </c>
      <c r="O15" s="8" t="n">
        <v>75000</v>
      </c>
      <c r="P15" s="8" t="n">
        <v>12000</v>
      </c>
      <c r="Q15" s="8" t="n">
        <v>6000</v>
      </c>
      <c r="R15" s="8" t="n">
        <v>3000</v>
      </c>
      <c r="S15" s="8" t="n">
        <v>1000</v>
      </c>
    </row>
    <row r="16" customFormat="false" ht="31.5" hidden="false" customHeight="true" outlineLevel="0" collapsed="false">
      <c r="A16" s="8" t="n">
        <v>11</v>
      </c>
      <c r="B16" s="8" t="n">
        <v>11</v>
      </c>
      <c r="C16" s="7" t="s">
        <v>31</v>
      </c>
      <c r="D16" s="10" t="s">
        <v>232</v>
      </c>
      <c r="E16" s="8" t="n">
        <v>1600</v>
      </c>
      <c r="F16" s="8" t="n">
        <v>280</v>
      </c>
      <c r="G16" s="8" t="n">
        <v>200</v>
      </c>
      <c r="H16" s="8" t="n">
        <v>0</v>
      </c>
      <c r="I16" s="8" t="n">
        <v>60</v>
      </c>
      <c r="J16" s="8" t="n">
        <v>60</v>
      </c>
      <c r="K16" s="8" t="n">
        <v>50</v>
      </c>
      <c r="L16" s="8" t="n">
        <v>300</v>
      </c>
      <c r="M16" s="8" t="n">
        <v>560</v>
      </c>
      <c r="N16" s="8" t="n">
        <v>70</v>
      </c>
      <c r="O16" s="8" t="n">
        <v>20000</v>
      </c>
      <c r="P16" s="8" t="n">
        <v>0</v>
      </c>
      <c r="Q16" s="8" t="n">
        <v>4000</v>
      </c>
      <c r="R16" s="8" t="n">
        <v>2000</v>
      </c>
      <c r="S16" s="8" t="n">
        <v>1000</v>
      </c>
    </row>
  </sheetData>
  <autoFilter ref="A4:S16"/>
  <mergeCells count="3">
    <mergeCell ref="A1:S1"/>
    <mergeCell ref="A2:S2"/>
    <mergeCell ref="A3:S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15.39"/>
    <col collapsed="false" customWidth="true" hidden="false" outlineLevel="0" max="5" min="5" style="1" width="14"/>
    <col collapsed="false" customWidth="true" hidden="false" outlineLevel="0" max="6" min="6" style="1" width="15.39"/>
    <col collapsed="false" customWidth="true" hidden="false" outlineLevel="0" max="17" min="7" style="1" width="14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customFormat="false" ht="31.5" hidden="false" customHeight="true" outlineLevel="0" collapsed="false">
      <c r="A4" s="6" t="s">
        <v>202</v>
      </c>
      <c r="B4" s="9" t="s">
        <v>233</v>
      </c>
      <c r="C4" s="9" t="s">
        <v>234</v>
      </c>
      <c r="D4" s="9" t="s">
        <v>204</v>
      </c>
      <c r="E4" s="9" t="s">
        <v>235</v>
      </c>
      <c r="F4" s="9" t="s">
        <v>236</v>
      </c>
      <c r="G4" s="9" t="s">
        <v>237</v>
      </c>
      <c r="H4" s="9" t="s">
        <v>238</v>
      </c>
      <c r="I4" s="9" t="s">
        <v>239</v>
      </c>
      <c r="J4" s="9" t="s">
        <v>240</v>
      </c>
      <c r="K4" s="9" t="s">
        <v>241</v>
      </c>
      <c r="L4" s="9" t="s">
        <v>242</v>
      </c>
      <c r="M4" s="9" t="s">
        <v>243</v>
      </c>
      <c r="N4" s="9" t="s">
        <v>244</v>
      </c>
      <c r="O4" s="9" t="s">
        <v>245</v>
      </c>
      <c r="P4" s="9" t="s">
        <v>246</v>
      </c>
      <c r="Q4" s="9" t="s">
        <v>247</v>
      </c>
    </row>
    <row r="5" customFormat="false" ht="31.5" hidden="false" customHeight="true" outlineLevel="0" collapsed="false">
      <c r="A5" s="8" t="n">
        <v>0</v>
      </c>
      <c r="B5" s="10" t="s">
        <v>248</v>
      </c>
      <c r="C5" s="8" t="n">
        <f aca="false">TRUE()</f>
        <v>1</v>
      </c>
      <c r="D5" s="7" t="s">
        <v>249</v>
      </c>
      <c r="E5" s="10" t="s">
        <v>250</v>
      </c>
      <c r="F5" s="10" t="s">
        <v>251</v>
      </c>
      <c r="G5" s="8" t="n">
        <v>1</v>
      </c>
      <c r="H5" s="10" t="s">
        <v>250</v>
      </c>
      <c r="I5" s="8" t="n">
        <v>4000</v>
      </c>
      <c r="J5" s="8" t="n">
        <v>20</v>
      </c>
      <c r="K5" s="8" t="n">
        <v>4000</v>
      </c>
      <c r="L5" s="8" t="n">
        <v>4000</v>
      </c>
      <c r="M5" s="7"/>
      <c r="N5" s="7"/>
      <c r="O5" s="7"/>
      <c r="P5" s="7"/>
      <c r="Q5" s="7"/>
    </row>
    <row r="6" customFormat="false" ht="31.5" hidden="false" customHeight="true" outlineLevel="0" collapsed="false">
      <c r="A6" s="8" t="n">
        <v>1</v>
      </c>
      <c r="B6" s="10" t="s">
        <v>252</v>
      </c>
      <c r="C6" s="8" t="n">
        <f aca="false">TRUE()</f>
        <v>1</v>
      </c>
      <c r="D6" s="7" t="s">
        <v>249</v>
      </c>
      <c r="E6" s="10" t="s">
        <v>250</v>
      </c>
      <c r="F6" s="10" t="s">
        <v>251</v>
      </c>
      <c r="G6" s="8" t="n">
        <v>1</v>
      </c>
      <c r="H6" s="10" t="s">
        <v>250</v>
      </c>
      <c r="I6" s="8" t="n">
        <v>5000</v>
      </c>
      <c r="J6" s="8" t="n">
        <v>20</v>
      </c>
      <c r="K6" s="8" t="n">
        <v>5000</v>
      </c>
      <c r="L6" s="8" t="n">
        <v>5000</v>
      </c>
      <c r="M6" s="7"/>
      <c r="N6" s="7"/>
      <c r="O6" s="7"/>
      <c r="P6" s="7"/>
      <c r="Q6" s="7"/>
    </row>
    <row r="7" customFormat="false" ht="31.5" hidden="false" customHeight="true" outlineLevel="0" collapsed="false">
      <c r="A7" s="8" t="n">
        <v>2</v>
      </c>
      <c r="B7" s="10" t="s">
        <v>253</v>
      </c>
      <c r="C7" s="8" t="n">
        <f aca="false">TRUE()</f>
        <v>1</v>
      </c>
      <c r="D7" s="10" t="s">
        <v>254</v>
      </c>
      <c r="E7" s="10" t="s">
        <v>255</v>
      </c>
      <c r="F7" s="10" t="s">
        <v>251</v>
      </c>
      <c r="G7" s="8" t="n">
        <v>1</v>
      </c>
      <c r="H7" s="10" t="s">
        <v>255</v>
      </c>
      <c r="I7" s="8" t="n">
        <v>1200</v>
      </c>
      <c r="J7" s="8" t="n">
        <v>10</v>
      </c>
      <c r="K7" s="8" t="n">
        <v>1200</v>
      </c>
      <c r="L7" s="8" t="n">
        <v>1200</v>
      </c>
      <c r="M7" s="7"/>
      <c r="N7" s="7"/>
      <c r="O7" s="7"/>
      <c r="P7" s="7"/>
      <c r="Q7" s="7"/>
    </row>
    <row r="8" customFormat="false" ht="31.5" hidden="false" customHeight="true" outlineLevel="0" collapsed="false">
      <c r="A8" s="8" t="n">
        <v>3</v>
      </c>
      <c r="B8" s="10" t="s">
        <v>256</v>
      </c>
      <c r="C8" s="8" t="n">
        <f aca="false">TRUE()</f>
        <v>1</v>
      </c>
      <c r="D8" s="10" t="s">
        <v>254</v>
      </c>
      <c r="E8" s="10" t="s">
        <v>255</v>
      </c>
      <c r="F8" s="10" t="s">
        <v>251</v>
      </c>
      <c r="G8" s="8" t="n">
        <v>1</v>
      </c>
      <c r="H8" s="10" t="s">
        <v>255</v>
      </c>
      <c r="I8" s="8" t="n">
        <v>1200</v>
      </c>
      <c r="J8" s="8" t="n">
        <v>10</v>
      </c>
      <c r="K8" s="8" t="n">
        <v>1200</v>
      </c>
      <c r="L8" s="8" t="n">
        <v>1200</v>
      </c>
      <c r="M8" s="7"/>
      <c r="N8" s="7"/>
      <c r="O8" s="7"/>
      <c r="P8" s="7"/>
      <c r="Q8" s="7"/>
    </row>
    <row r="9" customFormat="false" ht="31.5" hidden="false" customHeight="true" outlineLevel="0" collapsed="false">
      <c r="A9" s="8" t="n">
        <v>4</v>
      </c>
      <c r="B9" s="10" t="s">
        <v>257</v>
      </c>
      <c r="C9" s="8" t="n">
        <f aca="false">FALSE()</f>
        <v>0</v>
      </c>
      <c r="D9" s="7" t="s">
        <v>258</v>
      </c>
      <c r="E9" s="10" t="s">
        <v>259</v>
      </c>
      <c r="F9" s="10" t="s">
        <v>260</v>
      </c>
      <c r="G9" s="8" t="n">
        <v>1</v>
      </c>
      <c r="H9" s="7"/>
      <c r="I9" s="7"/>
      <c r="J9" s="7"/>
      <c r="K9" s="7"/>
      <c r="L9" s="7"/>
      <c r="M9" s="8" t="n">
        <v>3000</v>
      </c>
      <c r="N9" s="8" t="n">
        <v>3000</v>
      </c>
      <c r="O9" s="8" t="n">
        <v>0</v>
      </c>
      <c r="P9" s="8" t="n">
        <v>0</v>
      </c>
      <c r="Q9" s="7"/>
    </row>
    <row r="10" customFormat="false" ht="31.5" hidden="false" customHeight="true" outlineLevel="0" collapsed="false">
      <c r="A10" s="8" t="n">
        <v>5</v>
      </c>
      <c r="B10" s="10" t="s">
        <v>261</v>
      </c>
      <c r="C10" s="8" t="n">
        <f aca="false">FALSE()</f>
        <v>0</v>
      </c>
      <c r="D10" s="7" t="s">
        <v>262</v>
      </c>
      <c r="E10" s="10" t="s">
        <v>263</v>
      </c>
      <c r="F10" s="10" t="s">
        <v>260</v>
      </c>
      <c r="G10" s="8" t="n">
        <v>1</v>
      </c>
      <c r="H10" s="7"/>
      <c r="I10" s="7"/>
      <c r="J10" s="7"/>
      <c r="K10" s="7"/>
      <c r="L10" s="7"/>
      <c r="M10" s="8" t="n">
        <v>5000</v>
      </c>
      <c r="N10" s="8" t="n">
        <v>5000</v>
      </c>
      <c r="O10" s="8" t="n">
        <v>0</v>
      </c>
      <c r="P10" s="8" t="n">
        <v>0</v>
      </c>
      <c r="Q10" s="7"/>
    </row>
    <row r="11" customFormat="false" ht="31.5" hidden="false" customHeight="true" outlineLevel="0" collapsed="false">
      <c r="A11" s="8" t="n">
        <v>6</v>
      </c>
      <c r="B11" s="10" t="s">
        <v>264</v>
      </c>
      <c r="C11" s="8" t="n">
        <f aca="false">FALSE()</f>
        <v>0</v>
      </c>
      <c r="D11" s="10" t="s">
        <v>265</v>
      </c>
      <c r="E11" s="10" t="s">
        <v>266</v>
      </c>
      <c r="F11" s="10" t="s">
        <v>267</v>
      </c>
      <c r="G11" s="8" t="n">
        <v>1</v>
      </c>
      <c r="H11" s="7"/>
      <c r="I11" s="7"/>
      <c r="J11" s="7"/>
      <c r="K11" s="7"/>
      <c r="L11" s="7"/>
      <c r="M11" s="7"/>
      <c r="N11" s="7"/>
      <c r="O11" s="7"/>
      <c r="P11" s="7"/>
      <c r="Q11" s="8" t="n">
        <v>2</v>
      </c>
    </row>
    <row r="12" customFormat="false" ht="31.5" hidden="false" customHeight="true" outlineLevel="0" collapsed="false">
      <c r="A12" s="8" t="n">
        <v>7</v>
      </c>
      <c r="B12" s="10" t="s">
        <v>268</v>
      </c>
      <c r="C12" s="8" t="n">
        <f aca="false">FALSE()</f>
        <v>0</v>
      </c>
      <c r="D12" s="10" t="s">
        <v>265</v>
      </c>
      <c r="E12" s="10" t="s">
        <v>266</v>
      </c>
      <c r="F12" s="10" t="s">
        <v>267</v>
      </c>
      <c r="G12" s="8" t="n">
        <v>1</v>
      </c>
      <c r="H12" s="7"/>
      <c r="I12" s="7"/>
      <c r="J12" s="7"/>
      <c r="K12" s="7"/>
      <c r="L12" s="7"/>
      <c r="M12" s="7"/>
      <c r="N12" s="7"/>
      <c r="O12" s="7"/>
      <c r="P12" s="7"/>
      <c r="Q12" s="8" t="n">
        <v>0.5</v>
      </c>
    </row>
    <row r="13" customFormat="false" ht="31.5" hidden="false" customHeight="true" outlineLevel="0" collapsed="false">
      <c r="A13" s="8" t="n">
        <v>8</v>
      </c>
      <c r="B13" s="10" t="s">
        <v>269</v>
      </c>
      <c r="C13" s="8" t="n">
        <f aca="false">FALSE()</f>
        <v>0</v>
      </c>
      <c r="D13" s="10" t="s">
        <v>270</v>
      </c>
      <c r="E13" s="10" t="s">
        <v>271</v>
      </c>
      <c r="F13" s="10" t="s">
        <v>267</v>
      </c>
      <c r="G13" s="8" t="n">
        <v>1</v>
      </c>
      <c r="H13" s="7"/>
      <c r="I13" s="7"/>
      <c r="J13" s="7"/>
      <c r="K13" s="7"/>
      <c r="L13" s="7"/>
      <c r="M13" s="7"/>
      <c r="N13" s="7"/>
      <c r="O13" s="7"/>
      <c r="P13" s="7"/>
      <c r="Q13" s="8" t="n">
        <v>2</v>
      </c>
    </row>
    <row r="14" customFormat="false" ht="31.5" hidden="false" customHeight="true" outlineLevel="0" collapsed="false">
      <c r="A14" s="8" t="n">
        <v>9</v>
      </c>
      <c r="B14" s="10" t="s">
        <v>272</v>
      </c>
      <c r="C14" s="8" t="n">
        <f aca="false">FALSE()</f>
        <v>0</v>
      </c>
      <c r="D14" s="10" t="s">
        <v>270</v>
      </c>
      <c r="E14" s="10" t="s">
        <v>271</v>
      </c>
      <c r="F14" s="10" t="s">
        <v>267</v>
      </c>
      <c r="G14" s="8" t="n">
        <v>1</v>
      </c>
      <c r="H14" s="7"/>
      <c r="I14" s="7"/>
      <c r="J14" s="7"/>
      <c r="K14" s="7"/>
      <c r="L14" s="7"/>
      <c r="M14" s="7"/>
      <c r="N14" s="7"/>
      <c r="O14" s="7"/>
      <c r="P14" s="7"/>
      <c r="Q14" s="8" t="n">
        <v>0.5</v>
      </c>
    </row>
    <row r="15" customFormat="false" ht="31.5" hidden="false" customHeight="true" outlineLevel="0" collapsed="false">
      <c r="A15" s="8" t="n">
        <v>10</v>
      </c>
      <c r="B15" s="10" t="s">
        <v>273</v>
      </c>
      <c r="C15" s="8" t="n">
        <f aca="false">FALSE()</f>
        <v>0</v>
      </c>
      <c r="D15" s="10" t="s">
        <v>274</v>
      </c>
      <c r="E15" s="10" t="s">
        <v>275</v>
      </c>
      <c r="F15" s="10" t="s">
        <v>251</v>
      </c>
      <c r="G15" s="8" t="n">
        <v>1</v>
      </c>
      <c r="H15" s="10" t="s">
        <v>275</v>
      </c>
      <c r="I15" s="8" t="n">
        <v>20</v>
      </c>
      <c r="J15" s="8" t="n">
        <v>0</v>
      </c>
      <c r="K15" s="8" t="n">
        <v>10</v>
      </c>
      <c r="L15" s="8" t="n">
        <v>40</v>
      </c>
      <c r="M15" s="7"/>
      <c r="N15" s="7"/>
      <c r="O15" s="7"/>
      <c r="P15" s="7"/>
      <c r="Q15" s="7"/>
    </row>
    <row r="16" customFormat="false" ht="31.5" hidden="false" customHeight="true" outlineLevel="0" collapsed="false">
      <c r="A16" s="8" t="n">
        <v>11</v>
      </c>
      <c r="B16" s="10" t="s">
        <v>276</v>
      </c>
      <c r="C16" s="8" t="n">
        <f aca="false">FALSE()</f>
        <v>0</v>
      </c>
      <c r="D16" s="10" t="s">
        <v>274</v>
      </c>
      <c r="E16" s="10" t="s">
        <v>275</v>
      </c>
      <c r="F16" s="10" t="s">
        <v>251</v>
      </c>
      <c r="G16" s="8" t="n">
        <v>1</v>
      </c>
      <c r="H16" s="10" t="s">
        <v>275</v>
      </c>
      <c r="I16" s="8" t="n">
        <v>5</v>
      </c>
      <c r="J16" s="8" t="n">
        <v>0</v>
      </c>
      <c r="K16" s="8" t="n">
        <v>10</v>
      </c>
      <c r="L16" s="8" t="n">
        <v>30</v>
      </c>
      <c r="M16" s="7"/>
      <c r="N16" s="7"/>
      <c r="O16" s="7"/>
      <c r="P16" s="7"/>
      <c r="Q16" s="7"/>
    </row>
    <row r="17" customFormat="false" ht="31.5" hidden="false" customHeight="true" outlineLevel="0" collapsed="false">
      <c r="A17" s="8" t="n">
        <v>12</v>
      </c>
      <c r="B17" s="10" t="s">
        <v>277</v>
      </c>
      <c r="C17" s="8" t="n">
        <f aca="false">FALSE()</f>
        <v>0</v>
      </c>
      <c r="D17" s="10" t="s">
        <v>274</v>
      </c>
      <c r="E17" s="10" t="s">
        <v>275</v>
      </c>
      <c r="F17" s="10" t="s">
        <v>251</v>
      </c>
      <c r="G17" s="8" t="n">
        <v>1</v>
      </c>
      <c r="H17" s="10" t="s">
        <v>275</v>
      </c>
      <c r="I17" s="8" t="n">
        <v>40</v>
      </c>
      <c r="J17" s="8" t="n">
        <v>0</v>
      </c>
      <c r="K17" s="8" t="n">
        <v>10</v>
      </c>
      <c r="L17" s="8" t="n">
        <v>30</v>
      </c>
      <c r="M17" s="7"/>
      <c r="N17" s="7"/>
      <c r="O17" s="7"/>
      <c r="P17" s="7"/>
      <c r="Q17" s="7"/>
    </row>
    <row r="18" customFormat="false" ht="31.5" hidden="false" customHeight="true" outlineLevel="0" collapsed="false">
      <c r="A18" s="8" t="n">
        <v>13</v>
      </c>
      <c r="B18" s="10" t="s">
        <v>278</v>
      </c>
      <c r="C18" s="8" t="n">
        <f aca="false">FALSE()</f>
        <v>0</v>
      </c>
      <c r="D18" s="10" t="s">
        <v>274</v>
      </c>
      <c r="E18" s="10" t="s">
        <v>275</v>
      </c>
      <c r="F18" s="10" t="s">
        <v>251</v>
      </c>
      <c r="G18" s="8" t="n">
        <v>1</v>
      </c>
      <c r="H18" s="10" t="s">
        <v>275</v>
      </c>
      <c r="I18" s="8" t="n">
        <v>10</v>
      </c>
      <c r="J18" s="8" t="n">
        <v>0</v>
      </c>
      <c r="K18" s="8" t="n">
        <v>10</v>
      </c>
      <c r="L18" s="8" t="n">
        <v>30</v>
      </c>
      <c r="M18" s="7"/>
      <c r="N18" s="7"/>
      <c r="O18" s="7"/>
      <c r="P18" s="7"/>
      <c r="Q18" s="7"/>
    </row>
    <row r="19" customFormat="false" ht="31.5" hidden="false" customHeight="true" outlineLevel="0" collapsed="false">
      <c r="A19" s="8" t="n">
        <v>14</v>
      </c>
      <c r="B19" s="10" t="s">
        <v>279</v>
      </c>
      <c r="C19" s="8" t="n">
        <f aca="false">FALSE()</f>
        <v>0</v>
      </c>
      <c r="D19" s="10" t="s">
        <v>274</v>
      </c>
      <c r="E19" s="10" t="s">
        <v>275</v>
      </c>
      <c r="F19" s="10" t="s">
        <v>251</v>
      </c>
      <c r="G19" s="8" t="n">
        <v>1</v>
      </c>
      <c r="H19" s="10" t="s">
        <v>275</v>
      </c>
      <c r="I19" s="8" t="n">
        <v>20</v>
      </c>
      <c r="J19" s="8" t="n">
        <v>0</v>
      </c>
      <c r="K19" s="8" t="n">
        <v>10</v>
      </c>
      <c r="L19" s="8" t="n">
        <v>30</v>
      </c>
      <c r="M19" s="7"/>
      <c r="N19" s="7"/>
      <c r="O19" s="7"/>
      <c r="P19" s="7"/>
      <c r="Q19" s="7"/>
    </row>
    <row r="20" customFormat="false" ht="31.5" hidden="false" customHeight="true" outlineLevel="0" collapsed="false">
      <c r="A20" s="8" t="n">
        <v>15</v>
      </c>
      <c r="B20" s="10" t="s">
        <v>280</v>
      </c>
      <c r="C20" s="8" t="n">
        <f aca="false">FALSE()</f>
        <v>0</v>
      </c>
      <c r="D20" s="10" t="s">
        <v>274</v>
      </c>
      <c r="E20" s="10" t="s">
        <v>275</v>
      </c>
      <c r="F20" s="10" t="s">
        <v>251</v>
      </c>
      <c r="G20" s="8" t="n">
        <v>1</v>
      </c>
      <c r="H20" s="10" t="s">
        <v>275</v>
      </c>
      <c r="I20" s="8" t="n">
        <v>30</v>
      </c>
      <c r="J20" s="8" t="n">
        <v>0</v>
      </c>
      <c r="K20" s="8" t="n">
        <v>10</v>
      </c>
      <c r="L20" s="8" t="n">
        <v>30</v>
      </c>
      <c r="M20" s="7"/>
      <c r="N20" s="7"/>
      <c r="O20" s="7"/>
      <c r="P20" s="7"/>
      <c r="Q20" s="7"/>
    </row>
    <row r="21" customFormat="false" ht="31.5" hidden="false" customHeight="true" outlineLevel="0" collapsed="false">
      <c r="A21" s="8" t="n">
        <v>16</v>
      </c>
      <c r="B21" s="10" t="s">
        <v>281</v>
      </c>
      <c r="C21" s="8" t="n">
        <f aca="false">FALSE()</f>
        <v>0</v>
      </c>
      <c r="D21" s="10" t="s">
        <v>274</v>
      </c>
      <c r="E21" s="10" t="s">
        <v>275</v>
      </c>
      <c r="F21" s="10" t="s">
        <v>251</v>
      </c>
      <c r="G21" s="8" t="n">
        <v>1</v>
      </c>
      <c r="H21" s="10" t="s">
        <v>275</v>
      </c>
      <c r="I21" s="8" t="n">
        <v>10</v>
      </c>
      <c r="J21" s="8" t="n">
        <v>0</v>
      </c>
      <c r="K21" s="8" t="n">
        <v>10</v>
      </c>
      <c r="L21" s="8" t="n">
        <v>30</v>
      </c>
      <c r="M21" s="7"/>
      <c r="N21" s="7"/>
      <c r="O21" s="7"/>
      <c r="P21" s="7"/>
      <c r="Q21" s="7"/>
    </row>
    <row r="22" customFormat="false" ht="31.5" hidden="false" customHeight="true" outlineLevel="0" collapsed="false">
      <c r="A22" s="8" t="n">
        <v>17</v>
      </c>
      <c r="B22" s="10" t="s">
        <v>282</v>
      </c>
      <c r="C22" s="8" t="n">
        <f aca="false">FALSE()</f>
        <v>0</v>
      </c>
      <c r="D22" s="10" t="s">
        <v>274</v>
      </c>
      <c r="E22" s="10" t="s">
        <v>275</v>
      </c>
      <c r="F22" s="10" t="s">
        <v>251</v>
      </c>
      <c r="G22" s="8" t="n">
        <v>1</v>
      </c>
      <c r="H22" s="10" t="s">
        <v>275</v>
      </c>
      <c r="I22" s="8" t="n">
        <v>30</v>
      </c>
      <c r="J22" s="8" t="n">
        <v>0</v>
      </c>
      <c r="K22" s="8" t="n">
        <v>10</v>
      </c>
      <c r="L22" s="8" t="n">
        <v>30</v>
      </c>
      <c r="M22" s="7"/>
      <c r="N22" s="7"/>
      <c r="O22" s="7"/>
      <c r="P22" s="7"/>
      <c r="Q22" s="7"/>
    </row>
    <row r="23" customFormat="false" ht="31.5" hidden="false" customHeight="true" outlineLevel="0" collapsed="false">
      <c r="A23" s="8" t="n">
        <v>18</v>
      </c>
      <c r="B23" s="10" t="s">
        <v>283</v>
      </c>
      <c r="C23" s="8" t="n">
        <f aca="false">FALSE()</f>
        <v>0</v>
      </c>
      <c r="D23" s="10" t="s">
        <v>265</v>
      </c>
      <c r="E23" s="10" t="s">
        <v>266</v>
      </c>
      <c r="F23" s="10" t="s">
        <v>251</v>
      </c>
      <c r="G23" s="8" t="n">
        <v>1</v>
      </c>
      <c r="H23" s="10" t="s">
        <v>266</v>
      </c>
      <c r="I23" s="8" t="n">
        <v>50</v>
      </c>
      <c r="J23" s="8" t="n">
        <v>0</v>
      </c>
      <c r="K23" s="8" t="n">
        <v>5</v>
      </c>
      <c r="L23" s="8" t="n">
        <v>40</v>
      </c>
      <c r="M23" s="7"/>
      <c r="N23" s="7"/>
      <c r="O23" s="7"/>
      <c r="P23" s="7"/>
      <c r="Q23" s="7"/>
    </row>
    <row r="24" customFormat="false" ht="31.5" hidden="false" customHeight="true" outlineLevel="0" collapsed="false">
      <c r="A24" s="8" t="n">
        <v>19</v>
      </c>
      <c r="B24" s="10" t="s">
        <v>284</v>
      </c>
      <c r="C24" s="8" t="n">
        <f aca="false">FALSE()</f>
        <v>0</v>
      </c>
      <c r="D24" s="10" t="s">
        <v>265</v>
      </c>
      <c r="E24" s="10" t="s">
        <v>266</v>
      </c>
      <c r="F24" s="10" t="s">
        <v>251</v>
      </c>
      <c r="G24" s="8" t="n">
        <v>1</v>
      </c>
      <c r="H24" s="10" t="s">
        <v>266</v>
      </c>
      <c r="I24" s="8" t="n">
        <v>40</v>
      </c>
      <c r="J24" s="8" t="n">
        <v>0</v>
      </c>
      <c r="K24" s="8" t="n">
        <v>5</v>
      </c>
      <c r="L24" s="8" t="n">
        <v>40</v>
      </c>
      <c r="M24" s="7"/>
      <c r="N24" s="7"/>
      <c r="O24" s="7"/>
      <c r="P24" s="7"/>
      <c r="Q24" s="7"/>
    </row>
    <row r="25" customFormat="false" ht="31.5" hidden="false" customHeight="true" outlineLevel="0" collapsed="false">
      <c r="A25" s="8" t="n">
        <v>20</v>
      </c>
      <c r="B25" s="10" t="s">
        <v>285</v>
      </c>
      <c r="C25" s="8" t="n">
        <f aca="false">FALSE()</f>
        <v>0</v>
      </c>
      <c r="D25" s="10" t="s">
        <v>265</v>
      </c>
      <c r="E25" s="10" t="s">
        <v>266</v>
      </c>
      <c r="F25" s="10" t="s">
        <v>251</v>
      </c>
      <c r="G25" s="8" t="n">
        <v>1</v>
      </c>
      <c r="H25" s="10" t="s">
        <v>266</v>
      </c>
      <c r="I25" s="8" t="n">
        <v>40</v>
      </c>
      <c r="J25" s="8" t="n">
        <v>0</v>
      </c>
      <c r="K25" s="8" t="n">
        <v>5</v>
      </c>
      <c r="L25" s="8" t="n">
        <v>40</v>
      </c>
      <c r="M25" s="7"/>
      <c r="N25" s="7"/>
      <c r="O25" s="7"/>
      <c r="P25" s="7"/>
      <c r="Q25" s="7"/>
    </row>
    <row r="26" customFormat="false" ht="31.5" hidden="false" customHeight="true" outlineLevel="0" collapsed="false">
      <c r="A26" s="8" t="n">
        <v>21</v>
      </c>
      <c r="B26" s="10" t="s">
        <v>286</v>
      </c>
      <c r="C26" s="8" t="n">
        <f aca="false">FALSE()</f>
        <v>0</v>
      </c>
      <c r="D26" s="10" t="s">
        <v>265</v>
      </c>
      <c r="E26" s="10" t="s">
        <v>266</v>
      </c>
      <c r="F26" s="10" t="s">
        <v>251</v>
      </c>
      <c r="G26" s="8" t="n">
        <v>1</v>
      </c>
      <c r="H26" s="10" t="s">
        <v>266</v>
      </c>
      <c r="I26" s="8" t="n">
        <v>30</v>
      </c>
      <c r="J26" s="8" t="n">
        <v>0</v>
      </c>
      <c r="K26" s="8" t="n">
        <v>5</v>
      </c>
      <c r="L26" s="8" t="n">
        <v>40</v>
      </c>
      <c r="M26" s="7"/>
      <c r="N26" s="7"/>
      <c r="O26" s="7"/>
      <c r="P26" s="7"/>
      <c r="Q26" s="7"/>
    </row>
    <row r="27" customFormat="false" ht="31.5" hidden="false" customHeight="true" outlineLevel="0" collapsed="false">
      <c r="A27" s="8" t="n">
        <v>22</v>
      </c>
      <c r="B27" s="10" t="s">
        <v>287</v>
      </c>
      <c r="C27" s="8" t="n">
        <f aca="false">FALSE()</f>
        <v>0</v>
      </c>
      <c r="D27" s="10" t="s">
        <v>265</v>
      </c>
      <c r="E27" s="10" t="s">
        <v>266</v>
      </c>
      <c r="F27" s="10" t="s">
        <v>251</v>
      </c>
      <c r="G27" s="8" t="n">
        <v>1</v>
      </c>
      <c r="H27" s="10" t="s">
        <v>266</v>
      </c>
      <c r="I27" s="8" t="n">
        <v>10</v>
      </c>
      <c r="J27" s="8" t="n">
        <v>0</v>
      </c>
      <c r="K27" s="8" t="n">
        <v>5</v>
      </c>
      <c r="L27" s="8" t="n">
        <v>40</v>
      </c>
      <c r="M27" s="7"/>
      <c r="N27" s="7"/>
      <c r="O27" s="7"/>
      <c r="P27" s="7"/>
      <c r="Q27" s="7"/>
    </row>
    <row r="28" customFormat="false" ht="31.5" hidden="false" customHeight="true" outlineLevel="0" collapsed="false">
      <c r="A28" s="8" t="n">
        <v>23</v>
      </c>
      <c r="B28" s="10" t="s">
        <v>288</v>
      </c>
      <c r="C28" s="8" t="n">
        <f aca="false">FALSE()</f>
        <v>0</v>
      </c>
      <c r="D28" s="10" t="s">
        <v>265</v>
      </c>
      <c r="E28" s="10" t="s">
        <v>266</v>
      </c>
      <c r="F28" s="10" t="s">
        <v>251</v>
      </c>
      <c r="G28" s="8" t="n">
        <v>1</v>
      </c>
      <c r="H28" s="10" t="s">
        <v>266</v>
      </c>
      <c r="I28" s="8" t="n">
        <v>10</v>
      </c>
      <c r="J28" s="8" t="n">
        <v>0</v>
      </c>
      <c r="K28" s="8" t="n">
        <v>5</v>
      </c>
      <c r="L28" s="8" t="n">
        <v>40</v>
      </c>
      <c r="M28" s="7"/>
      <c r="N28" s="7"/>
      <c r="O28" s="7"/>
      <c r="P28" s="7"/>
      <c r="Q28" s="7"/>
    </row>
    <row r="29" customFormat="false" ht="31.5" hidden="false" customHeight="true" outlineLevel="0" collapsed="false">
      <c r="A29" s="8" t="n">
        <v>24</v>
      </c>
      <c r="B29" s="10" t="s">
        <v>289</v>
      </c>
      <c r="C29" s="8" t="n">
        <f aca="false">FALSE()</f>
        <v>0</v>
      </c>
      <c r="D29" s="10" t="s">
        <v>265</v>
      </c>
      <c r="E29" s="10" t="s">
        <v>266</v>
      </c>
      <c r="F29" s="10" t="s">
        <v>251</v>
      </c>
      <c r="G29" s="8" t="n">
        <v>1</v>
      </c>
      <c r="H29" s="10" t="s">
        <v>266</v>
      </c>
      <c r="I29" s="8" t="n">
        <v>5</v>
      </c>
      <c r="J29" s="8" t="n">
        <v>0</v>
      </c>
      <c r="K29" s="8" t="n">
        <v>5</v>
      </c>
      <c r="L29" s="8" t="n">
        <v>40</v>
      </c>
      <c r="M29" s="7"/>
      <c r="N29" s="7"/>
      <c r="O29" s="7"/>
      <c r="P29" s="7"/>
      <c r="Q29" s="7"/>
    </row>
    <row r="30" customFormat="false" ht="31.5" hidden="false" customHeight="true" outlineLevel="0" collapsed="false">
      <c r="A30" s="8" t="n">
        <v>25</v>
      </c>
      <c r="B30" s="10" t="s">
        <v>290</v>
      </c>
      <c r="C30" s="8" t="n">
        <f aca="false">FALSE()</f>
        <v>0</v>
      </c>
      <c r="D30" s="10" t="s">
        <v>265</v>
      </c>
      <c r="E30" s="10" t="s">
        <v>266</v>
      </c>
      <c r="F30" s="10" t="s">
        <v>251</v>
      </c>
      <c r="G30" s="8" t="n">
        <v>1</v>
      </c>
      <c r="H30" s="10" t="s">
        <v>266</v>
      </c>
      <c r="I30" s="8" t="n">
        <v>1</v>
      </c>
      <c r="J30" s="8" t="n">
        <v>0</v>
      </c>
      <c r="K30" s="8" t="n">
        <v>5</v>
      </c>
      <c r="L30" s="8" t="n">
        <v>40</v>
      </c>
      <c r="M30" s="7"/>
      <c r="N30" s="7"/>
      <c r="O30" s="7"/>
      <c r="P30" s="7"/>
      <c r="Q30" s="7"/>
    </row>
    <row r="31" customFormat="false" ht="31.5" hidden="false" customHeight="true" outlineLevel="0" collapsed="false">
      <c r="A31" s="8" t="n">
        <v>26</v>
      </c>
      <c r="B31" s="10" t="s">
        <v>291</v>
      </c>
      <c r="C31" s="8" t="n">
        <f aca="false">FALSE()</f>
        <v>0</v>
      </c>
      <c r="D31" s="10" t="s">
        <v>270</v>
      </c>
      <c r="E31" s="10" t="s">
        <v>271</v>
      </c>
      <c r="F31" s="10" t="s">
        <v>251</v>
      </c>
      <c r="G31" s="8" t="n">
        <v>1</v>
      </c>
      <c r="H31" s="10" t="s">
        <v>271</v>
      </c>
      <c r="I31" s="8" t="n">
        <v>40</v>
      </c>
      <c r="J31" s="8" t="n">
        <v>0</v>
      </c>
      <c r="K31" s="8" t="n">
        <v>5</v>
      </c>
      <c r="L31" s="8" t="n">
        <v>30</v>
      </c>
      <c r="M31" s="7"/>
      <c r="N31" s="7"/>
      <c r="O31" s="7"/>
      <c r="P31" s="7"/>
      <c r="Q31" s="7"/>
    </row>
    <row r="32" customFormat="false" ht="31.5" hidden="false" customHeight="true" outlineLevel="0" collapsed="false">
      <c r="A32" s="8" t="n">
        <v>27</v>
      </c>
      <c r="B32" s="10" t="s">
        <v>292</v>
      </c>
      <c r="C32" s="8" t="n">
        <f aca="false">FALSE()</f>
        <v>0</v>
      </c>
      <c r="D32" s="10" t="s">
        <v>270</v>
      </c>
      <c r="E32" s="10" t="s">
        <v>271</v>
      </c>
      <c r="F32" s="10" t="s">
        <v>251</v>
      </c>
      <c r="G32" s="8" t="n">
        <v>1</v>
      </c>
      <c r="H32" s="10" t="s">
        <v>271</v>
      </c>
      <c r="I32" s="8" t="n">
        <v>30</v>
      </c>
      <c r="J32" s="8" t="n">
        <v>0</v>
      </c>
      <c r="K32" s="8" t="n">
        <v>5</v>
      </c>
      <c r="L32" s="8" t="n">
        <v>30</v>
      </c>
      <c r="M32" s="7"/>
      <c r="N32" s="7"/>
      <c r="O32" s="7"/>
      <c r="P32" s="7"/>
      <c r="Q32" s="7"/>
    </row>
    <row r="33" customFormat="false" ht="31.5" hidden="false" customHeight="true" outlineLevel="0" collapsed="false">
      <c r="A33" s="8" t="n">
        <v>28</v>
      </c>
      <c r="B33" s="10" t="s">
        <v>293</v>
      </c>
      <c r="C33" s="8" t="n">
        <f aca="false">FALSE()</f>
        <v>0</v>
      </c>
      <c r="D33" s="10" t="s">
        <v>270</v>
      </c>
      <c r="E33" s="10" t="s">
        <v>271</v>
      </c>
      <c r="F33" s="10" t="s">
        <v>251</v>
      </c>
      <c r="G33" s="8" t="n">
        <v>1</v>
      </c>
      <c r="H33" s="10" t="s">
        <v>271</v>
      </c>
      <c r="I33" s="8" t="n">
        <v>30</v>
      </c>
      <c r="J33" s="8" t="n">
        <v>0</v>
      </c>
      <c r="K33" s="8" t="n">
        <v>5</v>
      </c>
      <c r="L33" s="8" t="n">
        <v>30</v>
      </c>
      <c r="M33" s="7"/>
      <c r="N33" s="7"/>
      <c r="O33" s="7"/>
      <c r="P33" s="7"/>
      <c r="Q33" s="7"/>
    </row>
    <row r="34" customFormat="false" ht="31.5" hidden="false" customHeight="true" outlineLevel="0" collapsed="false">
      <c r="A34" s="8" t="n">
        <v>29</v>
      </c>
      <c r="B34" s="10" t="s">
        <v>294</v>
      </c>
      <c r="C34" s="8" t="n">
        <f aca="false">FALSE()</f>
        <v>0</v>
      </c>
      <c r="D34" s="10" t="s">
        <v>270</v>
      </c>
      <c r="E34" s="10" t="s">
        <v>271</v>
      </c>
      <c r="F34" s="10" t="s">
        <v>251</v>
      </c>
      <c r="G34" s="8" t="n">
        <v>1</v>
      </c>
      <c r="H34" s="10" t="s">
        <v>271</v>
      </c>
      <c r="I34" s="8" t="n">
        <v>20</v>
      </c>
      <c r="J34" s="8" t="n">
        <v>0</v>
      </c>
      <c r="K34" s="8" t="n">
        <v>5</v>
      </c>
      <c r="L34" s="8" t="n">
        <v>30</v>
      </c>
      <c r="M34" s="7"/>
      <c r="N34" s="7"/>
      <c r="O34" s="7"/>
      <c r="P34" s="7"/>
      <c r="Q34" s="7"/>
    </row>
    <row r="35" customFormat="false" ht="31.5" hidden="false" customHeight="true" outlineLevel="0" collapsed="false">
      <c r="A35" s="8" t="n">
        <v>30</v>
      </c>
      <c r="B35" s="10" t="s">
        <v>295</v>
      </c>
      <c r="C35" s="8" t="n">
        <f aca="false">FALSE()</f>
        <v>0</v>
      </c>
      <c r="D35" s="10" t="s">
        <v>270</v>
      </c>
      <c r="E35" s="10" t="s">
        <v>271</v>
      </c>
      <c r="F35" s="10" t="s">
        <v>251</v>
      </c>
      <c r="G35" s="8" t="n">
        <v>1</v>
      </c>
      <c r="H35" s="10" t="s">
        <v>271</v>
      </c>
      <c r="I35" s="8" t="n">
        <v>10</v>
      </c>
      <c r="J35" s="8" t="n">
        <v>0</v>
      </c>
      <c r="K35" s="8" t="n">
        <v>5</v>
      </c>
      <c r="L35" s="8" t="n">
        <v>30</v>
      </c>
      <c r="M35" s="7"/>
      <c r="N35" s="7"/>
      <c r="O35" s="7"/>
      <c r="P35" s="7"/>
      <c r="Q35" s="7"/>
    </row>
    <row r="36" customFormat="false" ht="31.5" hidden="false" customHeight="true" outlineLevel="0" collapsed="false">
      <c r="A36" s="8" t="n">
        <v>31</v>
      </c>
      <c r="B36" s="10" t="s">
        <v>296</v>
      </c>
      <c r="C36" s="8" t="n">
        <f aca="false">FALSE()</f>
        <v>0</v>
      </c>
      <c r="D36" s="10" t="s">
        <v>270</v>
      </c>
      <c r="E36" s="10" t="s">
        <v>271</v>
      </c>
      <c r="F36" s="10" t="s">
        <v>251</v>
      </c>
      <c r="G36" s="8" t="n">
        <v>1</v>
      </c>
      <c r="H36" s="10" t="s">
        <v>271</v>
      </c>
      <c r="I36" s="8" t="n">
        <v>5</v>
      </c>
      <c r="J36" s="8" t="n">
        <v>0</v>
      </c>
      <c r="K36" s="8" t="n">
        <v>5</v>
      </c>
      <c r="L36" s="8" t="n">
        <v>30</v>
      </c>
      <c r="M36" s="7"/>
      <c r="N36" s="7"/>
      <c r="O36" s="7"/>
      <c r="P36" s="7"/>
      <c r="Q36" s="7"/>
    </row>
    <row r="37" customFormat="false" ht="31.5" hidden="false" customHeight="true" outlineLevel="0" collapsed="false">
      <c r="A37" s="8" t="n">
        <v>32</v>
      </c>
      <c r="B37" s="10" t="s">
        <v>297</v>
      </c>
      <c r="C37" s="8" t="n">
        <f aca="false">FALSE()</f>
        <v>0</v>
      </c>
      <c r="D37" s="10" t="s">
        <v>270</v>
      </c>
      <c r="E37" s="10" t="s">
        <v>271</v>
      </c>
      <c r="F37" s="10" t="s">
        <v>251</v>
      </c>
      <c r="G37" s="8" t="n">
        <v>1</v>
      </c>
      <c r="H37" s="10" t="s">
        <v>271</v>
      </c>
      <c r="I37" s="8" t="n">
        <v>5</v>
      </c>
      <c r="J37" s="8" t="n">
        <v>0</v>
      </c>
      <c r="K37" s="8" t="n">
        <v>5</v>
      </c>
      <c r="L37" s="8" t="n">
        <v>30</v>
      </c>
      <c r="M37" s="7"/>
      <c r="N37" s="7"/>
      <c r="O37" s="7"/>
      <c r="P37" s="7"/>
      <c r="Q37" s="7"/>
    </row>
    <row r="38" customFormat="false" ht="31.5" hidden="false" customHeight="true" outlineLevel="0" collapsed="false">
      <c r="A38" s="8" t="n">
        <v>33</v>
      </c>
      <c r="B38" s="10" t="s">
        <v>298</v>
      </c>
      <c r="C38" s="8" t="n">
        <f aca="false">FALSE()</f>
        <v>0</v>
      </c>
      <c r="D38" s="10" t="s">
        <v>270</v>
      </c>
      <c r="E38" s="10" t="s">
        <v>271</v>
      </c>
      <c r="F38" s="10" t="s">
        <v>251</v>
      </c>
      <c r="G38" s="8" t="n">
        <v>1</v>
      </c>
      <c r="H38" s="10" t="s">
        <v>271</v>
      </c>
      <c r="I38" s="8" t="n">
        <v>1</v>
      </c>
      <c r="J38" s="8" t="n">
        <v>0</v>
      </c>
      <c r="K38" s="8" t="n">
        <v>5</v>
      </c>
      <c r="L38" s="8" t="n">
        <v>30</v>
      </c>
      <c r="M38" s="7"/>
      <c r="N38" s="7"/>
      <c r="O38" s="7"/>
      <c r="P38" s="7"/>
      <c r="Q38" s="7"/>
    </row>
    <row r="39" customFormat="false" ht="31.5" hidden="false" customHeight="true" outlineLevel="0" collapsed="false">
      <c r="A39" s="8" t="n">
        <v>34</v>
      </c>
      <c r="B39" s="10" t="s">
        <v>299</v>
      </c>
      <c r="C39" s="8" t="n">
        <f aca="false">FALSE()</f>
        <v>0</v>
      </c>
      <c r="D39" s="10" t="s">
        <v>300</v>
      </c>
      <c r="E39" s="10" t="s">
        <v>301</v>
      </c>
      <c r="F39" s="10" t="s">
        <v>251</v>
      </c>
      <c r="G39" s="8" t="n">
        <v>1</v>
      </c>
      <c r="H39" s="10" t="s">
        <v>301</v>
      </c>
      <c r="I39" s="8" t="n">
        <v>40</v>
      </c>
      <c r="J39" s="8" t="n">
        <v>0</v>
      </c>
      <c r="K39" s="8" t="n">
        <v>10</v>
      </c>
      <c r="L39" s="8" t="n">
        <v>30</v>
      </c>
      <c r="M39" s="7"/>
      <c r="N39" s="7"/>
      <c r="O39" s="7"/>
      <c r="P39" s="7"/>
      <c r="Q39" s="7"/>
    </row>
    <row r="40" customFormat="false" ht="31.5" hidden="false" customHeight="true" outlineLevel="0" collapsed="false">
      <c r="A40" s="8" t="n">
        <v>35</v>
      </c>
      <c r="B40" s="10" t="s">
        <v>302</v>
      </c>
      <c r="C40" s="8" t="n">
        <f aca="false">FALSE()</f>
        <v>0</v>
      </c>
      <c r="D40" s="10" t="s">
        <v>300</v>
      </c>
      <c r="E40" s="10" t="s">
        <v>301</v>
      </c>
      <c r="F40" s="10" t="s">
        <v>251</v>
      </c>
      <c r="G40" s="8" t="n">
        <v>1</v>
      </c>
      <c r="H40" s="10" t="s">
        <v>301</v>
      </c>
      <c r="I40" s="8" t="n">
        <v>30</v>
      </c>
      <c r="J40" s="8" t="n">
        <v>0</v>
      </c>
      <c r="K40" s="8" t="n">
        <v>10</v>
      </c>
      <c r="L40" s="8" t="n">
        <v>30</v>
      </c>
      <c r="M40" s="7"/>
      <c r="N40" s="7"/>
      <c r="O40" s="7"/>
      <c r="P40" s="7"/>
      <c r="Q40" s="7"/>
    </row>
    <row r="41" customFormat="false" ht="31.5" hidden="false" customHeight="true" outlineLevel="0" collapsed="false">
      <c r="A41" s="8" t="n">
        <v>36</v>
      </c>
      <c r="B41" s="10" t="s">
        <v>303</v>
      </c>
      <c r="C41" s="8" t="n">
        <f aca="false">FALSE()</f>
        <v>0</v>
      </c>
      <c r="D41" s="10" t="s">
        <v>300</v>
      </c>
      <c r="E41" s="10" t="s">
        <v>301</v>
      </c>
      <c r="F41" s="10" t="s">
        <v>251</v>
      </c>
      <c r="G41" s="8" t="n">
        <v>1</v>
      </c>
      <c r="H41" s="10" t="s">
        <v>301</v>
      </c>
      <c r="I41" s="8" t="n">
        <v>30</v>
      </c>
      <c r="J41" s="8" t="n">
        <v>0</v>
      </c>
      <c r="K41" s="8" t="n">
        <v>10</v>
      </c>
      <c r="L41" s="8" t="n">
        <v>30</v>
      </c>
      <c r="M41" s="7"/>
      <c r="N41" s="7"/>
      <c r="O41" s="7"/>
      <c r="P41" s="7"/>
      <c r="Q41" s="7"/>
    </row>
    <row r="42" customFormat="false" ht="31.5" hidden="false" customHeight="true" outlineLevel="0" collapsed="false">
      <c r="A42" s="8" t="n">
        <v>37</v>
      </c>
      <c r="B42" s="10" t="s">
        <v>304</v>
      </c>
      <c r="C42" s="8" t="n">
        <f aca="false">FALSE()</f>
        <v>0</v>
      </c>
      <c r="D42" s="10" t="s">
        <v>300</v>
      </c>
      <c r="E42" s="10" t="s">
        <v>301</v>
      </c>
      <c r="F42" s="10" t="s">
        <v>251</v>
      </c>
      <c r="G42" s="8" t="n">
        <v>1</v>
      </c>
      <c r="H42" s="10" t="s">
        <v>301</v>
      </c>
      <c r="I42" s="8" t="n">
        <v>20</v>
      </c>
      <c r="J42" s="8" t="n">
        <v>0</v>
      </c>
      <c r="K42" s="8" t="n">
        <v>10</v>
      </c>
      <c r="L42" s="8" t="n">
        <v>30</v>
      </c>
      <c r="M42" s="7"/>
      <c r="N42" s="7"/>
      <c r="O42" s="7"/>
      <c r="P42" s="7"/>
      <c r="Q42" s="7"/>
    </row>
    <row r="43" customFormat="false" ht="31.5" hidden="false" customHeight="true" outlineLevel="0" collapsed="false">
      <c r="A43" s="8" t="n">
        <v>38</v>
      </c>
      <c r="B43" s="10" t="s">
        <v>305</v>
      </c>
      <c r="C43" s="8" t="n">
        <f aca="false">FALSE()</f>
        <v>0</v>
      </c>
      <c r="D43" s="10" t="s">
        <v>300</v>
      </c>
      <c r="E43" s="10" t="s">
        <v>301</v>
      </c>
      <c r="F43" s="10" t="s">
        <v>251</v>
      </c>
      <c r="G43" s="8" t="n">
        <v>1</v>
      </c>
      <c r="H43" s="10" t="s">
        <v>301</v>
      </c>
      <c r="I43" s="8" t="n">
        <v>10</v>
      </c>
      <c r="J43" s="8" t="n">
        <v>0</v>
      </c>
      <c r="K43" s="8" t="n">
        <v>10</v>
      </c>
      <c r="L43" s="8" t="n">
        <v>30</v>
      </c>
      <c r="M43" s="7"/>
      <c r="N43" s="7"/>
      <c r="O43" s="7"/>
      <c r="P43" s="7"/>
      <c r="Q43" s="7"/>
    </row>
    <row r="44" customFormat="false" ht="31.5" hidden="false" customHeight="true" outlineLevel="0" collapsed="false">
      <c r="A44" s="8" t="n">
        <v>39</v>
      </c>
      <c r="B44" s="10" t="s">
        <v>306</v>
      </c>
      <c r="C44" s="8" t="n">
        <f aca="false">FALSE()</f>
        <v>0</v>
      </c>
      <c r="D44" s="7" t="s">
        <v>307</v>
      </c>
      <c r="E44" s="10" t="s">
        <v>308</v>
      </c>
      <c r="F44" s="10" t="s">
        <v>309</v>
      </c>
      <c r="G44" s="8" t="n">
        <v>1</v>
      </c>
      <c r="H44" s="7"/>
      <c r="I44" s="7"/>
      <c r="J44" s="7"/>
      <c r="K44" s="7"/>
      <c r="L44" s="7"/>
      <c r="M44" s="8" t="n">
        <v>5000</v>
      </c>
      <c r="N44" s="8" t="n">
        <v>5000</v>
      </c>
      <c r="O44" s="8" t="n">
        <v>0</v>
      </c>
      <c r="P44" s="8" t="n">
        <v>0</v>
      </c>
      <c r="Q44" s="7"/>
    </row>
    <row r="45" customFormat="false" ht="31.5" hidden="false" customHeight="true" outlineLevel="0" collapsed="false">
      <c r="A45" s="8" t="n">
        <v>40</v>
      </c>
      <c r="B45" s="10" t="s">
        <v>310</v>
      </c>
      <c r="C45" s="8" t="n">
        <f aca="false">FALSE()</f>
        <v>0</v>
      </c>
      <c r="D45" s="10" t="s">
        <v>311</v>
      </c>
      <c r="E45" s="10" t="s">
        <v>312</v>
      </c>
      <c r="F45" s="10" t="s">
        <v>309</v>
      </c>
      <c r="G45" s="8" t="n">
        <v>1</v>
      </c>
      <c r="H45" s="7"/>
      <c r="I45" s="7"/>
      <c r="J45" s="7"/>
      <c r="K45" s="7"/>
      <c r="L45" s="7"/>
      <c r="M45" s="8" t="n">
        <v>5000</v>
      </c>
      <c r="N45" s="8" t="n">
        <v>5000</v>
      </c>
      <c r="O45" s="8" t="n">
        <v>0</v>
      </c>
      <c r="P45" s="8" t="n">
        <v>0</v>
      </c>
      <c r="Q45" s="7"/>
    </row>
    <row r="46" customFormat="false" ht="31.5" hidden="false" customHeight="true" outlineLevel="0" collapsed="false">
      <c r="A46" s="8" t="n">
        <v>41</v>
      </c>
      <c r="B46" s="10" t="s">
        <v>313</v>
      </c>
      <c r="C46" s="8" t="n">
        <f aca="false">FALSE()</f>
        <v>0</v>
      </c>
      <c r="D46" s="10" t="s">
        <v>314</v>
      </c>
      <c r="E46" s="10" t="s">
        <v>315</v>
      </c>
      <c r="F46" s="10" t="s">
        <v>309</v>
      </c>
      <c r="G46" s="8" t="n">
        <v>10</v>
      </c>
      <c r="H46" s="7"/>
      <c r="I46" s="7"/>
      <c r="J46" s="7"/>
      <c r="K46" s="7"/>
      <c r="L46" s="7"/>
      <c r="M46" s="8" t="n">
        <v>3000</v>
      </c>
      <c r="N46" s="8" t="n">
        <v>3000</v>
      </c>
      <c r="O46" s="8" t="n">
        <v>0</v>
      </c>
      <c r="P46" s="8" t="n">
        <v>0</v>
      </c>
      <c r="Q46" s="7"/>
    </row>
    <row r="47" customFormat="false" ht="31.5" hidden="false" customHeight="true" outlineLevel="0" collapsed="false">
      <c r="A47" s="8" t="n">
        <v>42</v>
      </c>
      <c r="B47" s="10" t="s">
        <v>316</v>
      </c>
      <c r="C47" s="8" t="n">
        <f aca="false">FALSE()</f>
        <v>0</v>
      </c>
      <c r="D47" s="7" t="s">
        <v>317</v>
      </c>
      <c r="E47" s="10" t="s">
        <v>318</v>
      </c>
      <c r="F47" s="10" t="s">
        <v>309</v>
      </c>
      <c r="G47" s="8" t="n">
        <v>8</v>
      </c>
      <c r="H47" s="7"/>
      <c r="I47" s="7"/>
      <c r="J47" s="7"/>
      <c r="K47" s="7"/>
      <c r="L47" s="7"/>
      <c r="M47" s="8" t="n">
        <v>500</v>
      </c>
      <c r="N47" s="8" t="n">
        <v>500</v>
      </c>
      <c r="O47" s="8" t="n">
        <v>0</v>
      </c>
      <c r="P47" s="8" t="n">
        <v>0</v>
      </c>
      <c r="Q47" s="7"/>
    </row>
    <row r="48" customFormat="false" ht="31.5" hidden="false" customHeight="true" outlineLevel="0" collapsed="false">
      <c r="A48" s="8" t="n">
        <v>43</v>
      </c>
      <c r="B48" s="10" t="s">
        <v>319</v>
      </c>
      <c r="C48" s="8" t="n">
        <f aca="false">FALSE()</f>
        <v>0</v>
      </c>
      <c r="D48" s="7" t="s">
        <v>320</v>
      </c>
      <c r="E48" s="10" t="s">
        <v>321</v>
      </c>
      <c r="F48" s="10" t="s">
        <v>322</v>
      </c>
      <c r="G48" s="8" t="n">
        <v>1</v>
      </c>
      <c r="H48" s="7"/>
      <c r="I48" s="7"/>
      <c r="J48" s="7"/>
      <c r="K48" s="7"/>
      <c r="L48" s="7"/>
      <c r="M48" s="8" t="n">
        <v>2000</v>
      </c>
      <c r="N48" s="8" t="n">
        <v>45000</v>
      </c>
      <c r="O48" s="8" t="n">
        <v>43000</v>
      </c>
      <c r="P48" s="8" t="n">
        <v>250</v>
      </c>
      <c r="Q48" s="7"/>
    </row>
    <row r="49" customFormat="false" ht="31.5" hidden="false" customHeight="true" outlineLevel="0" collapsed="false">
      <c r="A49" s="8" t="n">
        <v>44</v>
      </c>
      <c r="B49" s="10" t="s">
        <v>323</v>
      </c>
      <c r="C49" s="8" t="n">
        <f aca="false">FALSE()</f>
        <v>0</v>
      </c>
      <c r="D49" s="7" t="s">
        <v>320</v>
      </c>
      <c r="E49" s="10" t="s">
        <v>321</v>
      </c>
      <c r="F49" s="10" t="s">
        <v>322</v>
      </c>
      <c r="G49" s="8" t="n">
        <v>1</v>
      </c>
      <c r="H49" s="7"/>
      <c r="I49" s="7"/>
      <c r="J49" s="7"/>
      <c r="K49" s="7"/>
      <c r="L49" s="7"/>
      <c r="M49" s="8" t="n">
        <v>2000</v>
      </c>
      <c r="N49" s="8" t="n">
        <v>35000</v>
      </c>
      <c r="O49" s="8" t="n">
        <v>33000</v>
      </c>
      <c r="P49" s="8" t="n">
        <v>220</v>
      </c>
      <c r="Q49" s="7"/>
    </row>
    <row r="50" customFormat="false" ht="31.5" hidden="false" customHeight="true" outlineLevel="0" collapsed="false">
      <c r="A50" s="8" t="n">
        <v>45</v>
      </c>
      <c r="B50" s="10" t="s">
        <v>324</v>
      </c>
      <c r="C50" s="8" t="n">
        <f aca="false">FALSE()</f>
        <v>0</v>
      </c>
      <c r="D50" s="7" t="s">
        <v>325</v>
      </c>
      <c r="E50" s="10" t="s">
        <v>326</v>
      </c>
      <c r="F50" s="10" t="s">
        <v>322</v>
      </c>
      <c r="G50" s="8" t="n">
        <v>1</v>
      </c>
      <c r="H50" s="7"/>
      <c r="I50" s="7"/>
      <c r="J50" s="7"/>
      <c r="K50" s="7"/>
      <c r="L50" s="7"/>
      <c r="M50" s="8" t="n">
        <v>5000</v>
      </c>
      <c r="N50" s="8" t="n">
        <v>40000</v>
      </c>
      <c r="O50" s="8" t="n">
        <v>35000</v>
      </c>
      <c r="P50" s="8" t="n">
        <v>220</v>
      </c>
      <c r="Q50" s="7"/>
    </row>
    <row r="51" customFormat="false" ht="31.5" hidden="false" customHeight="true" outlineLevel="0" collapsed="false">
      <c r="A51" s="8" t="n">
        <v>46</v>
      </c>
      <c r="B51" s="10" t="s">
        <v>327</v>
      </c>
      <c r="C51" s="8" t="n">
        <f aca="false">FALSE()</f>
        <v>0</v>
      </c>
      <c r="D51" s="7" t="s">
        <v>325</v>
      </c>
      <c r="E51" s="10" t="s">
        <v>326</v>
      </c>
      <c r="F51" s="10" t="s">
        <v>322</v>
      </c>
      <c r="G51" s="8" t="n">
        <v>1</v>
      </c>
      <c r="H51" s="7"/>
      <c r="I51" s="7"/>
      <c r="J51" s="7"/>
      <c r="K51" s="7"/>
      <c r="L51" s="7"/>
      <c r="M51" s="8" t="n">
        <v>5000</v>
      </c>
      <c r="N51" s="8" t="n">
        <v>55000</v>
      </c>
      <c r="O51" s="8" t="n">
        <v>50000</v>
      </c>
      <c r="P51" s="8" t="n">
        <v>160</v>
      </c>
      <c r="Q51" s="7"/>
    </row>
    <row r="52" customFormat="false" ht="31.5" hidden="false" customHeight="true" outlineLevel="0" collapsed="false">
      <c r="A52" s="8" t="n">
        <v>47</v>
      </c>
      <c r="B52" s="10" t="s">
        <v>328</v>
      </c>
      <c r="C52" s="8" t="n">
        <f aca="false">FALSE()</f>
        <v>0</v>
      </c>
      <c r="D52" s="7" t="s">
        <v>325</v>
      </c>
      <c r="E52" s="10" t="s">
        <v>326</v>
      </c>
      <c r="F52" s="10" t="s">
        <v>322</v>
      </c>
      <c r="G52" s="8" t="n">
        <v>1</v>
      </c>
      <c r="H52" s="7"/>
      <c r="I52" s="7"/>
      <c r="J52" s="7"/>
      <c r="K52" s="7"/>
      <c r="L52" s="7"/>
      <c r="M52" s="8" t="n">
        <v>4000</v>
      </c>
      <c r="N52" s="8" t="n">
        <v>40000</v>
      </c>
      <c r="O52" s="8" t="n">
        <v>36000</v>
      </c>
      <c r="P52" s="8" t="n">
        <v>140</v>
      </c>
      <c r="Q52" s="7"/>
    </row>
    <row r="53" customFormat="false" ht="31.5" hidden="false" customHeight="true" outlineLevel="0" collapsed="false">
      <c r="A53" s="8" t="n">
        <v>48</v>
      </c>
      <c r="B53" s="10" t="s">
        <v>329</v>
      </c>
      <c r="C53" s="8" t="n">
        <f aca="false">FALSE()</f>
        <v>0</v>
      </c>
      <c r="D53" s="7" t="s">
        <v>325</v>
      </c>
      <c r="E53" s="10" t="s">
        <v>326</v>
      </c>
      <c r="F53" s="10" t="s">
        <v>322</v>
      </c>
      <c r="G53" s="8" t="n">
        <v>1</v>
      </c>
      <c r="H53" s="7"/>
      <c r="I53" s="7"/>
      <c r="J53" s="7"/>
      <c r="K53" s="7"/>
      <c r="L53" s="7"/>
      <c r="M53" s="8" t="n">
        <v>5000</v>
      </c>
      <c r="N53" s="8" t="n">
        <v>50000</v>
      </c>
      <c r="O53" s="8" t="n">
        <v>45000</v>
      </c>
      <c r="P53" s="8" t="n">
        <v>100</v>
      </c>
      <c r="Q53" s="7"/>
    </row>
    <row r="54" customFormat="false" ht="31.5" hidden="false" customHeight="true" outlineLevel="0" collapsed="false">
      <c r="A54" s="8" t="n">
        <v>49</v>
      </c>
      <c r="B54" s="10" t="s">
        <v>330</v>
      </c>
      <c r="C54" s="8" t="n">
        <f aca="false">FALSE()</f>
        <v>0</v>
      </c>
      <c r="D54" s="7" t="s">
        <v>325</v>
      </c>
      <c r="E54" s="10" t="s">
        <v>326</v>
      </c>
      <c r="F54" s="10" t="s">
        <v>322</v>
      </c>
      <c r="G54" s="8" t="n">
        <v>1</v>
      </c>
      <c r="H54" s="7"/>
      <c r="I54" s="7"/>
      <c r="J54" s="7"/>
      <c r="K54" s="7"/>
      <c r="L54" s="7"/>
      <c r="M54" s="8" t="n">
        <v>5000</v>
      </c>
      <c r="N54" s="8" t="n">
        <v>60000</v>
      </c>
      <c r="O54" s="8" t="n">
        <v>55000</v>
      </c>
      <c r="P54" s="8" t="n">
        <v>-100</v>
      </c>
      <c r="Q54" s="7"/>
    </row>
    <row r="55" customFormat="false" ht="31.5" hidden="false" customHeight="true" outlineLevel="0" collapsed="false">
      <c r="A55" s="8" t="n">
        <v>50</v>
      </c>
      <c r="B55" s="10" t="s">
        <v>331</v>
      </c>
      <c r="C55" s="8" t="n">
        <f aca="false">FALSE()</f>
        <v>0</v>
      </c>
      <c r="D55" s="7" t="s">
        <v>320</v>
      </c>
      <c r="E55" s="10" t="s">
        <v>321</v>
      </c>
      <c r="F55" s="10" t="s">
        <v>322</v>
      </c>
      <c r="G55" s="8" t="n">
        <v>1</v>
      </c>
      <c r="H55" s="7"/>
      <c r="I55" s="7"/>
      <c r="J55" s="7"/>
      <c r="K55" s="7"/>
      <c r="L55" s="7"/>
      <c r="M55" s="8" t="n">
        <v>4000</v>
      </c>
      <c r="N55" s="8" t="n">
        <v>50000</v>
      </c>
      <c r="O55" s="8" t="n">
        <v>46000</v>
      </c>
      <c r="P55" s="8" t="n">
        <v>200</v>
      </c>
      <c r="Q55" s="7"/>
    </row>
    <row r="56" customFormat="false" ht="31.5" hidden="false" customHeight="true" outlineLevel="0" collapsed="false">
      <c r="A56" s="8" t="n">
        <v>51</v>
      </c>
      <c r="B56" s="10" t="s">
        <v>332</v>
      </c>
      <c r="C56" s="8" t="n">
        <f aca="false">FALSE()</f>
        <v>0</v>
      </c>
      <c r="D56" s="7" t="s">
        <v>320</v>
      </c>
      <c r="E56" s="10" t="s">
        <v>321</v>
      </c>
      <c r="F56" s="10" t="s">
        <v>322</v>
      </c>
      <c r="G56" s="8" t="n">
        <v>1</v>
      </c>
      <c r="H56" s="7"/>
      <c r="I56" s="7"/>
      <c r="J56" s="7"/>
      <c r="K56" s="7"/>
      <c r="L56" s="7"/>
      <c r="M56" s="8" t="n">
        <v>5000</v>
      </c>
      <c r="N56" s="8" t="n">
        <v>65000</v>
      </c>
      <c r="O56" s="8" t="n">
        <v>60000</v>
      </c>
      <c r="P56" s="8" t="n">
        <v>160</v>
      </c>
      <c r="Q56" s="7"/>
    </row>
    <row r="57" customFormat="false" ht="31.5" hidden="false" customHeight="true" outlineLevel="0" collapsed="false">
      <c r="A57" s="8" t="n">
        <v>52</v>
      </c>
      <c r="B57" s="10" t="s">
        <v>333</v>
      </c>
      <c r="C57" s="8" t="n">
        <f aca="false">FALSE()</f>
        <v>0</v>
      </c>
      <c r="D57" s="7" t="s">
        <v>320</v>
      </c>
      <c r="E57" s="10" t="s">
        <v>321</v>
      </c>
      <c r="F57" s="10" t="s">
        <v>322</v>
      </c>
      <c r="G57" s="8" t="n">
        <v>1</v>
      </c>
      <c r="H57" s="7"/>
      <c r="I57" s="7"/>
      <c r="J57" s="7"/>
      <c r="K57" s="7"/>
      <c r="L57" s="7"/>
      <c r="M57" s="8" t="n">
        <v>3000</v>
      </c>
      <c r="N57" s="8" t="n">
        <v>50000</v>
      </c>
      <c r="O57" s="8" t="n">
        <v>47000</v>
      </c>
      <c r="P57" s="8" t="n">
        <v>100</v>
      </c>
      <c r="Q57" s="7"/>
    </row>
    <row r="58" customFormat="false" ht="31.5" hidden="false" customHeight="true" outlineLevel="0" collapsed="false">
      <c r="A58" s="8" t="n">
        <v>53</v>
      </c>
      <c r="B58" s="10" t="s">
        <v>334</v>
      </c>
      <c r="C58" s="8" t="n">
        <f aca="false">FALSE()</f>
        <v>0</v>
      </c>
      <c r="D58" s="7" t="s">
        <v>320</v>
      </c>
      <c r="E58" s="10" t="s">
        <v>321</v>
      </c>
      <c r="F58" s="10" t="s">
        <v>322</v>
      </c>
      <c r="G58" s="8" t="n">
        <v>1</v>
      </c>
      <c r="H58" s="7"/>
      <c r="I58" s="7"/>
      <c r="J58" s="7"/>
      <c r="K58" s="7"/>
      <c r="L58" s="7"/>
      <c r="M58" s="8" t="n">
        <v>0</v>
      </c>
      <c r="N58" s="8" t="n">
        <v>50000</v>
      </c>
      <c r="O58" s="8" t="n">
        <v>50000</v>
      </c>
      <c r="P58" s="8" t="n">
        <v>100</v>
      </c>
      <c r="Q58" s="7"/>
    </row>
    <row r="59" customFormat="false" ht="31.5" hidden="false" customHeight="true" outlineLevel="0" collapsed="false">
      <c r="A59" s="8" t="n">
        <v>54</v>
      </c>
      <c r="B59" s="10" t="s">
        <v>335</v>
      </c>
      <c r="C59" s="8" t="n">
        <f aca="false">FALSE()</f>
        <v>0</v>
      </c>
      <c r="D59" s="7" t="s">
        <v>320</v>
      </c>
      <c r="E59" s="10" t="s">
        <v>321</v>
      </c>
      <c r="F59" s="10" t="s">
        <v>322</v>
      </c>
      <c r="G59" s="8" t="n">
        <v>1</v>
      </c>
      <c r="H59" s="7"/>
      <c r="I59" s="7"/>
      <c r="J59" s="7"/>
      <c r="K59" s="7"/>
      <c r="L59" s="7"/>
      <c r="M59" s="8" t="n">
        <v>0</v>
      </c>
      <c r="N59" s="8" t="n">
        <v>50000</v>
      </c>
      <c r="O59" s="8" t="n">
        <v>50000</v>
      </c>
      <c r="P59" s="8" t="n">
        <v>-100</v>
      </c>
      <c r="Q59" s="7"/>
    </row>
  </sheetData>
  <autoFilter ref="A4:Q59"/>
  <mergeCells count="3">
    <mergeCell ref="A1:Q1"/>
    <mergeCell ref="A2:Q2"/>
    <mergeCell ref="A3:Q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14"/>
    <col collapsed="false" customWidth="true" hidden="false" outlineLevel="0" max="6" min="6" style="1" width="15.39"/>
    <col collapsed="false" customWidth="true" hidden="false" outlineLevel="0" max="11" min="7" style="1" width="14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31.5" hidden="false" customHeight="true" outlineLevel="0" collapsed="false">
      <c r="A4" s="6" t="s">
        <v>202</v>
      </c>
      <c r="B4" s="9" t="s">
        <v>233</v>
      </c>
      <c r="C4" s="9" t="s">
        <v>234</v>
      </c>
      <c r="D4" s="9" t="s">
        <v>204</v>
      </c>
      <c r="E4" s="9" t="s">
        <v>235</v>
      </c>
      <c r="F4" s="9" t="s">
        <v>236</v>
      </c>
      <c r="G4" s="9" t="s">
        <v>237</v>
      </c>
      <c r="H4" s="9" t="s">
        <v>243</v>
      </c>
      <c r="I4" s="9" t="s">
        <v>244</v>
      </c>
      <c r="J4" s="9" t="s">
        <v>245</v>
      </c>
      <c r="K4" s="9" t="s">
        <v>246</v>
      </c>
    </row>
    <row r="5" customFormat="false" ht="31.5" hidden="false" customHeight="true" outlineLevel="0" collapsed="false">
      <c r="A5" s="8" t="n">
        <v>0</v>
      </c>
      <c r="B5" s="10" t="s">
        <v>336</v>
      </c>
      <c r="C5" s="8" t="n">
        <f aca="false">FALSE()</f>
        <v>0</v>
      </c>
      <c r="D5" s="7" t="s">
        <v>337</v>
      </c>
      <c r="E5" s="10" t="s">
        <v>338</v>
      </c>
      <c r="F5" s="10" t="s">
        <v>260</v>
      </c>
      <c r="G5" s="8" t="n">
        <v>1</v>
      </c>
      <c r="H5" s="8" t="n">
        <v>30000</v>
      </c>
      <c r="I5" s="8" t="n">
        <v>30000</v>
      </c>
      <c r="J5" s="8" t="n">
        <v>0</v>
      </c>
      <c r="K5" s="8" t="n">
        <v>1500</v>
      </c>
    </row>
    <row r="6" customFormat="false" ht="31.5" hidden="false" customHeight="true" outlineLevel="0" collapsed="false">
      <c r="A6" s="8" t="n">
        <v>1</v>
      </c>
      <c r="B6" s="10" t="s">
        <v>339</v>
      </c>
      <c r="C6" s="8" t="n">
        <f aca="false">FALSE()</f>
        <v>0</v>
      </c>
      <c r="D6" s="7" t="s">
        <v>337</v>
      </c>
      <c r="E6" s="10" t="s">
        <v>338</v>
      </c>
      <c r="F6" s="10" t="s">
        <v>260</v>
      </c>
      <c r="G6" s="8" t="n">
        <v>1</v>
      </c>
      <c r="H6" s="8" t="n">
        <v>30000</v>
      </c>
      <c r="I6" s="8" t="n">
        <v>30000</v>
      </c>
      <c r="J6" s="8" t="n">
        <v>0</v>
      </c>
      <c r="K6" s="8" t="n">
        <v>1000</v>
      </c>
    </row>
    <row r="7" customFormat="false" ht="31.5" hidden="false" customHeight="true" outlineLevel="0" collapsed="false">
      <c r="A7" s="8" t="n">
        <v>2</v>
      </c>
      <c r="B7" s="10" t="s">
        <v>340</v>
      </c>
      <c r="C7" s="8" t="n">
        <f aca="false">FALSE()</f>
        <v>0</v>
      </c>
      <c r="D7" s="7" t="s">
        <v>337</v>
      </c>
      <c r="E7" s="10" t="s">
        <v>338</v>
      </c>
      <c r="F7" s="10" t="s">
        <v>260</v>
      </c>
      <c r="G7" s="8" t="n">
        <v>1</v>
      </c>
      <c r="H7" s="8" t="n">
        <v>25000</v>
      </c>
      <c r="I7" s="8" t="n">
        <v>25000</v>
      </c>
      <c r="J7" s="8" t="n">
        <v>0</v>
      </c>
      <c r="K7" s="8" t="n">
        <v>1000</v>
      </c>
    </row>
    <row r="8" customFormat="false" ht="31.5" hidden="false" customHeight="true" outlineLevel="0" collapsed="false">
      <c r="A8" s="8" t="n">
        <v>3</v>
      </c>
      <c r="B8" s="10" t="s">
        <v>341</v>
      </c>
      <c r="C8" s="8" t="n">
        <f aca="false">FALSE()</f>
        <v>0</v>
      </c>
      <c r="D8" s="7" t="s">
        <v>337</v>
      </c>
      <c r="E8" s="10" t="s">
        <v>338</v>
      </c>
      <c r="F8" s="10" t="s">
        <v>260</v>
      </c>
      <c r="G8" s="8" t="n">
        <v>1</v>
      </c>
      <c r="H8" s="8" t="n">
        <v>20000</v>
      </c>
      <c r="I8" s="8" t="n">
        <v>20000</v>
      </c>
      <c r="J8" s="8" t="n">
        <v>0</v>
      </c>
      <c r="K8" s="8" t="n">
        <v>800</v>
      </c>
    </row>
    <row r="9" customFormat="false" ht="31.5" hidden="false" customHeight="true" outlineLevel="0" collapsed="false">
      <c r="A9" s="8" t="n">
        <v>4</v>
      </c>
      <c r="B9" s="10" t="s">
        <v>342</v>
      </c>
      <c r="C9" s="8" t="n">
        <f aca="false">FALSE()</f>
        <v>0</v>
      </c>
      <c r="D9" s="7" t="s">
        <v>343</v>
      </c>
      <c r="E9" s="10" t="s">
        <v>344</v>
      </c>
      <c r="F9" s="10" t="s">
        <v>260</v>
      </c>
      <c r="G9" s="8" t="n">
        <v>1</v>
      </c>
      <c r="H9" s="8" t="n">
        <v>40000</v>
      </c>
      <c r="I9" s="8" t="n">
        <v>200000</v>
      </c>
      <c r="J9" s="8" t="n">
        <v>160000</v>
      </c>
      <c r="K9" s="8" t="n">
        <v>2700</v>
      </c>
    </row>
    <row r="10" customFormat="false" ht="31.5" hidden="false" customHeight="true" outlineLevel="0" collapsed="false">
      <c r="A10" s="8" t="n">
        <v>5</v>
      </c>
      <c r="B10" s="10" t="s">
        <v>345</v>
      </c>
      <c r="C10" s="8" t="n">
        <f aca="false">FALSE()</f>
        <v>0</v>
      </c>
      <c r="D10" s="7" t="s">
        <v>346</v>
      </c>
      <c r="E10" s="10" t="s">
        <v>347</v>
      </c>
      <c r="F10" s="10" t="s">
        <v>260</v>
      </c>
      <c r="G10" s="8" t="n">
        <v>1</v>
      </c>
      <c r="H10" s="8" t="n">
        <v>30000</v>
      </c>
      <c r="I10" s="8" t="n">
        <v>150000</v>
      </c>
      <c r="J10" s="8" t="n">
        <v>120000</v>
      </c>
      <c r="K10" s="8" t="n">
        <v>2500</v>
      </c>
    </row>
    <row r="11" customFormat="false" ht="31.5" hidden="false" customHeight="true" outlineLevel="0" collapsed="false">
      <c r="A11" s="8" t="n">
        <v>6</v>
      </c>
      <c r="B11" s="10" t="s">
        <v>348</v>
      </c>
      <c r="C11" s="8" t="n">
        <f aca="false">FALSE()</f>
        <v>0</v>
      </c>
      <c r="D11" s="7" t="s">
        <v>349</v>
      </c>
      <c r="E11" s="10" t="s">
        <v>350</v>
      </c>
      <c r="F11" s="10" t="s">
        <v>260</v>
      </c>
      <c r="G11" s="8" t="n">
        <v>1</v>
      </c>
      <c r="H11" s="8" t="n">
        <v>25000</v>
      </c>
      <c r="I11" s="8" t="n">
        <v>125000</v>
      </c>
      <c r="J11" s="8" t="n">
        <v>100000</v>
      </c>
      <c r="K11" s="8" t="n">
        <v>1800</v>
      </c>
    </row>
    <row r="12" customFormat="false" ht="31.5" hidden="false" customHeight="true" outlineLevel="0" collapsed="false">
      <c r="A12" s="8" t="n">
        <v>7</v>
      </c>
      <c r="B12" s="10" t="s">
        <v>351</v>
      </c>
      <c r="C12" s="8" t="n">
        <f aca="false">FALSE()</f>
        <v>0</v>
      </c>
      <c r="D12" s="7" t="s">
        <v>352</v>
      </c>
      <c r="E12" s="10" t="s">
        <v>353</v>
      </c>
      <c r="F12" s="10" t="s">
        <v>260</v>
      </c>
      <c r="G12" s="8" t="n">
        <v>1</v>
      </c>
      <c r="H12" s="8" t="n">
        <v>20000</v>
      </c>
      <c r="I12" s="8" t="n">
        <v>100000</v>
      </c>
      <c r="J12" s="8" t="n">
        <v>80000</v>
      </c>
      <c r="K12" s="8" t="n">
        <v>1600</v>
      </c>
    </row>
    <row r="13" customFormat="false" ht="31.5" hidden="false" customHeight="true" outlineLevel="0" collapsed="false">
      <c r="A13" s="8" t="n">
        <v>8</v>
      </c>
      <c r="B13" s="10" t="s">
        <v>354</v>
      </c>
      <c r="C13" s="8" t="n">
        <f aca="false">FALSE()</f>
        <v>0</v>
      </c>
      <c r="D13" s="7" t="s">
        <v>355</v>
      </c>
      <c r="E13" s="10" t="s">
        <v>356</v>
      </c>
      <c r="F13" s="10" t="s">
        <v>260</v>
      </c>
      <c r="G13" s="8" t="n">
        <v>1</v>
      </c>
      <c r="H13" s="8" t="n">
        <v>100000</v>
      </c>
      <c r="I13" s="8" t="n">
        <v>500000</v>
      </c>
      <c r="J13" s="8" t="n">
        <v>400000</v>
      </c>
      <c r="K13" s="8" t="n">
        <v>5000</v>
      </c>
    </row>
    <row r="14" customFormat="false" ht="31.5" hidden="false" customHeight="true" outlineLevel="0" collapsed="false">
      <c r="A14" s="8" t="n">
        <v>9</v>
      </c>
      <c r="B14" s="10" t="s">
        <v>357</v>
      </c>
      <c r="C14" s="8" t="n">
        <f aca="false">FALSE()</f>
        <v>0</v>
      </c>
      <c r="D14" s="7" t="s">
        <v>349</v>
      </c>
      <c r="E14" s="10" t="s">
        <v>350</v>
      </c>
      <c r="F14" s="10" t="s">
        <v>260</v>
      </c>
      <c r="G14" s="8" t="n">
        <v>1</v>
      </c>
      <c r="H14" s="8" t="n">
        <v>50000</v>
      </c>
      <c r="I14" s="8" t="n">
        <v>350000</v>
      </c>
      <c r="J14" s="8" t="n">
        <v>300000</v>
      </c>
      <c r="K14" s="8" t="n">
        <v>1500</v>
      </c>
    </row>
    <row r="15" customFormat="false" ht="31.5" hidden="false" customHeight="true" outlineLevel="0" collapsed="false">
      <c r="A15" s="8" t="n">
        <v>10</v>
      </c>
      <c r="B15" s="10" t="s">
        <v>358</v>
      </c>
      <c r="C15" s="8" t="n">
        <f aca="false">FALSE()</f>
        <v>0</v>
      </c>
      <c r="D15" s="7" t="s">
        <v>359</v>
      </c>
      <c r="E15" s="10" t="s">
        <v>360</v>
      </c>
      <c r="F15" s="10" t="s">
        <v>260</v>
      </c>
      <c r="G15" s="8" t="n">
        <v>1</v>
      </c>
      <c r="H15" s="8" t="n">
        <v>30000</v>
      </c>
      <c r="I15" s="8" t="n">
        <v>150000</v>
      </c>
      <c r="J15" s="8" t="n">
        <v>120000</v>
      </c>
      <c r="K15" s="8" t="n">
        <v>1000</v>
      </c>
    </row>
    <row r="16" customFormat="false" ht="31.5" hidden="false" customHeight="true" outlineLevel="0" collapsed="false">
      <c r="A16" s="8" t="n">
        <v>11</v>
      </c>
      <c r="B16" s="10" t="s">
        <v>361</v>
      </c>
      <c r="C16" s="8" t="n">
        <f aca="false">FALSE()</f>
        <v>0</v>
      </c>
      <c r="D16" s="7" t="s">
        <v>362</v>
      </c>
      <c r="E16" s="10" t="s">
        <v>363</v>
      </c>
      <c r="F16" s="10" t="s">
        <v>260</v>
      </c>
      <c r="G16" s="8" t="n">
        <v>1</v>
      </c>
      <c r="H16" s="8" t="n">
        <v>50000</v>
      </c>
      <c r="I16" s="8" t="n">
        <v>50000</v>
      </c>
      <c r="J16" s="8" t="n">
        <v>0</v>
      </c>
      <c r="K16" s="8" t="n">
        <v>800</v>
      </c>
    </row>
    <row r="17" customFormat="false" ht="31.5" hidden="false" customHeight="true" outlineLevel="0" collapsed="false">
      <c r="A17" s="8" t="n">
        <v>12</v>
      </c>
      <c r="B17" s="10" t="s">
        <v>364</v>
      </c>
      <c r="C17" s="8" t="n">
        <f aca="false">FALSE()</f>
        <v>0</v>
      </c>
      <c r="D17" s="10" t="s">
        <v>365</v>
      </c>
      <c r="E17" s="10" t="s">
        <v>366</v>
      </c>
      <c r="F17" s="10" t="s">
        <v>309</v>
      </c>
      <c r="G17" s="8" t="n">
        <v>1</v>
      </c>
      <c r="H17" s="8" t="n">
        <v>20000</v>
      </c>
      <c r="I17" s="8" t="n">
        <v>20000</v>
      </c>
      <c r="J17" s="8" t="n">
        <v>0</v>
      </c>
      <c r="K17" s="8" t="n">
        <v>0</v>
      </c>
    </row>
    <row r="18" customFormat="false" ht="31.5" hidden="false" customHeight="true" outlineLevel="0" collapsed="false">
      <c r="A18" s="8" t="n">
        <v>13</v>
      </c>
      <c r="B18" s="10" t="s">
        <v>367</v>
      </c>
      <c r="C18" s="8" t="n">
        <f aca="false">FALSE()</f>
        <v>0</v>
      </c>
      <c r="D18" s="7" t="s">
        <v>320</v>
      </c>
      <c r="E18" s="10" t="s">
        <v>321</v>
      </c>
      <c r="F18" s="10" t="s">
        <v>322</v>
      </c>
      <c r="G18" s="8" t="n">
        <v>1</v>
      </c>
      <c r="H18" s="8" t="n">
        <v>20000</v>
      </c>
      <c r="I18" s="8" t="n">
        <v>70000</v>
      </c>
      <c r="J18" s="8" t="n">
        <v>50000</v>
      </c>
      <c r="K18" s="8" t="n">
        <v>500</v>
      </c>
    </row>
    <row r="19" customFormat="false" ht="31.5" hidden="false" customHeight="true" outlineLevel="0" collapsed="false">
      <c r="A19" s="8" t="n">
        <v>14</v>
      </c>
      <c r="B19" s="10" t="s">
        <v>368</v>
      </c>
      <c r="C19" s="8" t="n">
        <f aca="false">FALSE()</f>
        <v>0</v>
      </c>
      <c r="D19" s="7" t="s">
        <v>320</v>
      </c>
      <c r="E19" s="10" t="s">
        <v>321</v>
      </c>
      <c r="F19" s="10" t="s">
        <v>322</v>
      </c>
      <c r="G19" s="8" t="n">
        <v>1</v>
      </c>
      <c r="H19" s="8" t="n">
        <v>12000</v>
      </c>
      <c r="I19" s="8" t="n">
        <v>67000</v>
      </c>
      <c r="J19" s="8" t="n">
        <v>55000</v>
      </c>
      <c r="K19" s="8" t="n">
        <v>400</v>
      </c>
    </row>
    <row r="20" customFormat="false" ht="31.5" hidden="false" customHeight="true" outlineLevel="0" collapsed="false">
      <c r="A20" s="8" t="n">
        <v>15</v>
      </c>
      <c r="B20" s="10" t="s">
        <v>369</v>
      </c>
      <c r="C20" s="8" t="n">
        <f aca="false">FALSE()</f>
        <v>0</v>
      </c>
      <c r="D20" s="7" t="s">
        <v>320</v>
      </c>
      <c r="E20" s="10" t="s">
        <v>321</v>
      </c>
      <c r="F20" s="10" t="s">
        <v>322</v>
      </c>
      <c r="G20" s="8" t="n">
        <v>1</v>
      </c>
      <c r="H20" s="8" t="n">
        <v>7000</v>
      </c>
      <c r="I20" s="8" t="n">
        <v>75000</v>
      </c>
      <c r="J20" s="8" t="n">
        <v>68000</v>
      </c>
      <c r="K20" s="8" t="n">
        <v>300</v>
      </c>
    </row>
    <row r="21" customFormat="false" ht="31.5" hidden="false" customHeight="true" outlineLevel="0" collapsed="false">
      <c r="A21" s="8" t="n">
        <v>16</v>
      </c>
      <c r="B21" s="10" t="s">
        <v>370</v>
      </c>
      <c r="C21" s="8" t="n">
        <f aca="false">FALSE()</f>
        <v>0</v>
      </c>
      <c r="D21" s="7" t="s">
        <v>320</v>
      </c>
      <c r="E21" s="10" t="s">
        <v>321</v>
      </c>
      <c r="F21" s="10" t="s">
        <v>322</v>
      </c>
      <c r="G21" s="8" t="n">
        <v>1</v>
      </c>
      <c r="H21" s="8" t="n">
        <v>9000</v>
      </c>
      <c r="I21" s="8" t="n">
        <v>70000</v>
      </c>
      <c r="J21" s="8" t="n">
        <v>61000</v>
      </c>
      <c r="K21" s="8" t="n">
        <v>300</v>
      </c>
    </row>
    <row r="22" customFormat="false" ht="31.5" hidden="false" customHeight="true" outlineLevel="0" collapsed="false">
      <c r="A22" s="8" t="n">
        <v>17</v>
      </c>
      <c r="B22" s="10" t="s">
        <v>371</v>
      </c>
      <c r="C22" s="8" t="n">
        <f aca="false">FALSE()</f>
        <v>0</v>
      </c>
      <c r="D22" s="7" t="s">
        <v>320</v>
      </c>
      <c r="E22" s="10" t="s">
        <v>321</v>
      </c>
      <c r="F22" s="10" t="s">
        <v>322</v>
      </c>
      <c r="G22" s="8" t="n">
        <v>1</v>
      </c>
      <c r="H22" s="8" t="n">
        <v>8000</v>
      </c>
      <c r="I22" s="8" t="n">
        <v>65000</v>
      </c>
      <c r="J22" s="8" t="n">
        <v>57000</v>
      </c>
      <c r="K22" s="8" t="n">
        <v>300</v>
      </c>
    </row>
    <row r="23" customFormat="false" ht="31.5" hidden="false" customHeight="true" outlineLevel="0" collapsed="false">
      <c r="A23" s="8" t="n">
        <v>18</v>
      </c>
      <c r="B23" s="10" t="s">
        <v>372</v>
      </c>
      <c r="C23" s="8" t="n">
        <f aca="false">FALSE()</f>
        <v>0</v>
      </c>
      <c r="D23" s="7" t="s">
        <v>320</v>
      </c>
      <c r="E23" s="10" t="s">
        <v>321</v>
      </c>
      <c r="F23" s="10" t="s">
        <v>322</v>
      </c>
      <c r="G23" s="8" t="n">
        <v>1</v>
      </c>
      <c r="H23" s="8" t="n">
        <v>7000</v>
      </c>
      <c r="I23" s="8" t="n">
        <v>65000</v>
      </c>
      <c r="J23" s="8" t="n">
        <v>58000</v>
      </c>
      <c r="K23" s="8" t="n">
        <v>150</v>
      </c>
    </row>
    <row r="24" customFormat="false" ht="31.5" hidden="false" customHeight="true" outlineLevel="0" collapsed="false">
      <c r="A24" s="8" t="n">
        <v>19</v>
      </c>
      <c r="B24" s="10" t="s">
        <v>373</v>
      </c>
      <c r="C24" s="8" t="n">
        <f aca="false">FALSE()</f>
        <v>0</v>
      </c>
      <c r="D24" s="7" t="s">
        <v>320</v>
      </c>
      <c r="E24" s="10" t="s">
        <v>321</v>
      </c>
      <c r="F24" s="10" t="s">
        <v>322</v>
      </c>
      <c r="G24" s="8" t="n">
        <v>1</v>
      </c>
      <c r="H24" s="8" t="n">
        <v>20000</v>
      </c>
      <c r="I24" s="8" t="n">
        <v>125000</v>
      </c>
      <c r="J24" s="8" t="n">
        <v>105000</v>
      </c>
      <c r="K24" s="8" t="n">
        <v>-100</v>
      </c>
    </row>
    <row r="25" customFormat="false" ht="31.5" hidden="false" customHeight="true" outlineLevel="0" collapsed="false">
      <c r="A25" s="8" t="n">
        <v>20</v>
      </c>
      <c r="B25" s="10" t="s">
        <v>374</v>
      </c>
      <c r="C25" s="8" t="n">
        <f aca="false">FALSE()</f>
        <v>0</v>
      </c>
      <c r="D25" s="7" t="s">
        <v>320</v>
      </c>
      <c r="E25" s="10" t="s">
        <v>321</v>
      </c>
      <c r="F25" s="10" t="s">
        <v>322</v>
      </c>
      <c r="G25" s="8" t="n">
        <v>1</v>
      </c>
      <c r="H25" s="8" t="n">
        <v>10000</v>
      </c>
      <c r="I25" s="8" t="n">
        <v>115000</v>
      </c>
      <c r="J25" s="8" t="n">
        <v>105000</v>
      </c>
      <c r="K25" s="8" t="n">
        <v>-100</v>
      </c>
    </row>
    <row r="26" customFormat="false" ht="31.5" hidden="false" customHeight="true" outlineLevel="0" collapsed="false">
      <c r="A26" s="8" t="n">
        <v>21</v>
      </c>
      <c r="B26" s="10" t="s">
        <v>375</v>
      </c>
      <c r="C26" s="8" t="n">
        <f aca="false">FALSE()</f>
        <v>0</v>
      </c>
      <c r="D26" s="7" t="s">
        <v>376</v>
      </c>
      <c r="E26" s="10" t="s">
        <v>377</v>
      </c>
      <c r="F26" s="10" t="s">
        <v>322</v>
      </c>
      <c r="G26" s="8" t="n">
        <v>24</v>
      </c>
      <c r="H26" s="8" t="n">
        <v>75000</v>
      </c>
      <c r="I26" s="8" t="n">
        <v>575000</v>
      </c>
      <c r="J26" s="8" t="n">
        <v>500000</v>
      </c>
      <c r="K26" s="8" t="n">
        <v>3400</v>
      </c>
    </row>
    <row r="27" customFormat="false" ht="31.5" hidden="false" customHeight="true" outlineLevel="0" collapsed="false">
      <c r="A27" s="8" t="n">
        <v>22</v>
      </c>
      <c r="B27" s="10" t="s">
        <v>378</v>
      </c>
      <c r="C27" s="8" t="n">
        <f aca="false">FALSE()</f>
        <v>0</v>
      </c>
      <c r="D27" s="7" t="s">
        <v>376</v>
      </c>
      <c r="E27" s="10" t="s">
        <v>377</v>
      </c>
      <c r="F27" s="10" t="s">
        <v>322</v>
      </c>
      <c r="G27" s="8" t="n">
        <v>12</v>
      </c>
      <c r="H27" s="8" t="n">
        <v>50000</v>
      </c>
      <c r="I27" s="8" t="n">
        <v>350000</v>
      </c>
      <c r="J27" s="8" t="n">
        <v>300000</v>
      </c>
      <c r="K27" s="8" t="n">
        <v>2400</v>
      </c>
    </row>
    <row r="28" customFormat="false" ht="31.5" hidden="false" customHeight="true" outlineLevel="0" collapsed="false">
      <c r="A28" s="8" t="n">
        <v>23</v>
      </c>
      <c r="B28" s="10" t="s">
        <v>379</v>
      </c>
      <c r="C28" s="8" t="n">
        <f aca="false">FALSE()</f>
        <v>0</v>
      </c>
      <c r="D28" s="7" t="s">
        <v>376</v>
      </c>
      <c r="E28" s="10" t="s">
        <v>377</v>
      </c>
      <c r="F28" s="10" t="s">
        <v>322</v>
      </c>
      <c r="G28" s="8" t="n">
        <v>24</v>
      </c>
      <c r="H28" s="8" t="n">
        <v>50000</v>
      </c>
      <c r="I28" s="8" t="n">
        <v>550000</v>
      </c>
      <c r="J28" s="8" t="n">
        <v>500000</v>
      </c>
      <c r="K28" s="8" t="n">
        <v>2800</v>
      </c>
    </row>
    <row r="29" customFormat="false" ht="31.5" hidden="false" customHeight="true" outlineLevel="0" collapsed="false">
      <c r="A29" s="8" t="n">
        <v>24</v>
      </c>
      <c r="B29" s="10" t="s">
        <v>380</v>
      </c>
      <c r="C29" s="8" t="n">
        <f aca="false">FALSE()</f>
        <v>0</v>
      </c>
      <c r="D29" s="7" t="s">
        <v>376</v>
      </c>
      <c r="E29" s="10" t="s">
        <v>377</v>
      </c>
      <c r="F29" s="10" t="s">
        <v>322</v>
      </c>
      <c r="G29" s="8" t="n">
        <v>60</v>
      </c>
      <c r="H29" s="8" t="n">
        <v>200000</v>
      </c>
      <c r="I29" s="8" t="n">
        <v>1200000</v>
      </c>
      <c r="J29" s="8" t="n">
        <v>1000000</v>
      </c>
      <c r="K29" s="8" t="n">
        <v>11000</v>
      </c>
    </row>
    <row r="30" customFormat="false" ht="31.5" hidden="false" customHeight="true" outlineLevel="0" collapsed="false">
      <c r="A30" s="8" t="n">
        <v>25</v>
      </c>
      <c r="B30" s="10" t="s">
        <v>381</v>
      </c>
      <c r="C30" s="8" t="n">
        <f aca="false">FALSE()</f>
        <v>0</v>
      </c>
      <c r="D30" s="7" t="s">
        <v>382</v>
      </c>
      <c r="E30" s="10" t="s">
        <v>383</v>
      </c>
      <c r="F30" s="10" t="s">
        <v>322</v>
      </c>
      <c r="G30" s="8" t="n">
        <v>2</v>
      </c>
      <c r="H30" s="8" t="n">
        <v>12000</v>
      </c>
      <c r="I30" s="8" t="n">
        <v>60000</v>
      </c>
      <c r="J30" s="8" t="n">
        <v>48000</v>
      </c>
      <c r="K30" s="8" t="n">
        <v>400</v>
      </c>
    </row>
    <row r="31" customFormat="false" ht="31.5" hidden="false" customHeight="true" outlineLevel="0" collapsed="false">
      <c r="A31" s="8" t="n">
        <v>26</v>
      </c>
      <c r="B31" s="10" t="s">
        <v>384</v>
      </c>
      <c r="C31" s="8" t="n">
        <f aca="false">FALSE()</f>
        <v>0</v>
      </c>
      <c r="D31" s="7" t="s">
        <v>382</v>
      </c>
      <c r="E31" s="10" t="s">
        <v>383</v>
      </c>
      <c r="F31" s="10" t="s">
        <v>322</v>
      </c>
      <c r="G31" s="8" t="n">
        <v>2</v>
      </c>
      <c r="H31" s="8" t="n">
        <v>8000</v>
      </c>
      <c r="I31" s="8" t="n">
        <v>45000</v>
      </c>
      <c r="J31" s="8" t="n">
        <v>37000</v>
      </c>
      <c r="K31" s="8" t="n">
        <v>320</v>
      </c>
    </row>
    <row r="32" customFormat="false" ht="31.5" hidden="false" customHeight="true" outlineLevel="0" collapsed="false">
      <c r="A32" s="8" t="n">
        <v>27</v>
      </c>
      <c r="B32" s="10" t="s">
        <v>385</v>
      </c>
      <c r="C32" s="8" t="n">
        <f aca="false">FALSE()</f>
        <v>0</v>
      </c>
      <c r="D32" s="7" t="s">
        <v>382</v>
      </c>
      <c r="E32" s="10" t="s">
        <v>383</v>
      </c>
      <c r="F32" s="10" t="s">
        <v>322</v>
      </c>
      <c r="G32" s="8" t="n">
        <v>2</v>
      </c>
      <c r="H32" s="8" t="n">
        <v>6000</v>
      </c>
      <c r="I32" s="8" t="n">
        <v>60000</v>
      </c>
      <c r="J32" s="8" t="n">
        <v>54000</v>
      </c>
      <c r="K32" s="8" t="n">
        <v>300</v>
      </c>
    </row>
    <row r="33" customFormat="false" ht="31.5" hidden="false" customHeight="true" outlineLevel="0" collapsed="false">
      <c r="A33" s="8" t="n">
        <v>28</v>
      </c>
      <c r="B33" s="10" t="s">
        <v>386</v>
      </c>
      <c r="C33" s="8" t="n">
        <f aca="false">FALSE()</f>
        <v>0</v>
      </c>
      <c r="D33" s="7" t="s">
        <v>382</v>
      </c>
      <c r="E33" s="10" t="s">
        <v>383</v>
      </c>
      <c r="F33" s="10" t="s">
        <v>322</v>
      </c>
      <c r="G33" s="8" t="n">
        <v>2</v>
      </c>
      <c r="H33" s="8" t="n">
        <v>8000</v>
      </c>
      <c r="I33" s="8" t="n">
        <v>50000</v>
      </c>
      <c r="J33" s="8" t="n">
        <v>42000</v>
      </c>
      <c r="K33" s="8" t="n">
        <v>240</v>
      </c>
    </row>
    <row r="34" customFormat="false" ht="31.5" hidden="false" customHeight="true" outlineLevel="0" collapsed="false">
      <c r="A34" s="8" t="n">
        <v>29</v>
      </c>
      <c r="B34" s="10" t="s">
        <v>387</v>
      </c>
      <c r="C34" s="8" t="n">
        <f aca="false">FALSE()</f>
        <v>0</v>
      </c>
      <c r="D34" s="7" t="s">
        <v>382</v>
      </c>
      <c r="E34" s="10" t="s">
        <v>383</v>
      </c>
      <c r="F34" s="10" t="s">
        <v>322</v>
      </c>
      <c r="G34" s="8" t="n">
        <v>2</v>
      </c>
      <c r="H34" s="8" t="n">
        <v>7000</v>
      </c>
      <c r="I34" s="8" t="n">
        <v>70000</v>
      </c>
      <c r="J34" s="8" t="n">
        <v>63000</v>
      </c>
      <c r="K34" s="8" t="n">
        <v>140</v>
      </c>
    </row>
    <row r="35" customFormat="false" ht="31.5" hidden="false" customHeight="true" outlineLevel="0" collapsed="false">
      <c r="A35" s="8" t="n">
        <v>30</v>
      </c>
      <c r="B35" s="10" t="s">
        <v>388</v>
      </c>
      <c r="C35" s="8" t="n">
        <f aca="false">FALSE()</f>
        <v>0</v>
      </c>
      <c r="D35" s="7" t="s">
        <v>382</v>
      </c>
      <c r="E35" s="10" t="s">
        <v>383</v>
      </c>
      <c r="F35" s="10" t="s">
        <v>322</v>
      </c>
      <c r="G35" s="8" t="n">
        <v>4</v>
      </c>
      <c r="H35" s="8" t="n">
        <v>32000</v>
      </c>
      <c r="I35" s="8" t="n">
        <v>140000</v>
      </c>
      <c r="J35" s="8" t="n">
        <v>108000</v>
      </c>
      <c r="K35" s="8" t="n">
        <v>2000</v>
      </c>
    </row>
    <row r="36" customFormat="false" ht="31.5" hidden="false" customHeight="true" outlineLevel="0" collapsed="false">
      <c r="A36" s="8" t="n">
        <v>31</v>
      </c>
      <c r="B36" s="10" t="s">
        <v>389</v>
      </c>
      <c r="C36" s="8" t="n">
        <f aca="false">FALSE()</f>
        <v>0</v>
      </c>
      <c r="D36" s="7" t="s">
        <v>382</v>
      </c>
      <c r="E36" s="10" t="s">
        <v>383</v>
      </c>
      <c r="F36" s="10" t="s">
        <v>322</v>
      </c>
      <c r="G36" s="8" t="n">
        <v>4</v>
      </c>
      <c r="H36" s="8" t="n">
        <v>20000</v>
      </c>
      <c r="I36" s="8" t="n">
        <v>100000</v>
      </c>
      <c r="J36" s="8" t="n">
        <v>80000</v>
      </c>
      <c r="K36" s="8" t="n">
        <v>800</v>
      </c>
    </row>
    <row r="37" customFormat="false" ht="31.5" hidden="false" customHeight="true" outlineLevel="0" collapsed="false">
      <c r="A37" s="8" t="n">
        <v>32</v>
      </c>
      <c r="B37" s="10" t="s">
        <v>390</v>
      </c>
      <c r="C37" s="8" t="n">
        <f aca="false">FALSE()</f>
        <v>0</v>
      </c>
      <c r="D37" s="7" t="s">
        <v>382</v>
      </c>
      <c r="E37" s="10" t="s">
        <v>383</v>
      </c>
      <c r="F37" s="10" t="s">
        <v>322</v>
      </c>
      <c r="G37" s="8" t="n">
        <v>4</v>
      </c>
      <c r="H37" s="8" t="n">
        <v>16000</v>
      </c>
      <c r="I37" s="8" t="n">
        <v>80000</v>
      </c>
      <c r="J37" s="8" t="n">
        <v>64000</v>
      </c>
      <c r="K37" s="8" t="n">
        <v>750</v>
      </c>
    </row>
    <row r="38" customFormat="false" ht="31.5" hidden="false" customHeight="true" outlineLevel="0" collapsed="false">
      <c r="A38" s="8" t="n">
        <v>33</v>
      </c>
      <c r="B38" s="10" t="s">
        <v>391</v>
      </c>
      <c r="C38" s="8" t="n">
        <f aca="false">FALSE()</f>
        <v>0</v>
      </c>
      <c r="D38" s="7" t="s">
        <v>382</v>
      </c>
      <c r="E38" s="10" t="s">
        <v>383</v>
      </c>
      <c r="F38" s="10" t="s">
        <v>322</v>
      </c>
      <c r="G38" s="8" t="n">
        <v>4</v>
      </c>
      <c r="H38" s="8" t="n">
        <v>15000</v>
      </c>
      <c r="I38" s="8" t="n">
        <v>125000</v>
      </c>
      <c r="J38" s="8" t="n">
        <v>110000</v>
      </c>
      <c r="K38" s="8" t="n">
        <v>600</v>
      </c>
    </row>
    <row r="39" customFormat="false" ht="31.5" hidden="false" customHeight="true" outlineLevel="0" collapsed="false">
      <c r="A39" s="8" t="n">
        <v>34</v>
      </c>
      <c r="B39" s="10" t="s">
        <v>392</v>
      </c>
      <c r="C39" s="8" t="n">
        <f aca="false">FALSE()</f>
        <v>0</v>
      </c>
      <c r="D39" s="7" t="s">
        <v>382</v>
      </c>
      <c r="E39" s="10" t="s">
        <v>383</v>
      </c>
      <c r="F39" s="10" t="s">
        <v>322</v>
      </c>
      <c r="G39" s="8" t="n">
        <v>4</v>
      </c>
      <c r="H39" s="8" t="n">
        <v>15000</v>
      </c>
      <c r="I39" s="8" t="n">
        <v>90000</v>
      </c>
      <c r="J39" s="8" t="n">
        <v>75000</v>
      </c>
      <c r="K39" s="8" t="n">
        <v>500</v>
      </c>
    </row>
    <row r="40" customFormat="false" ht="31.5" hidden="false" customHeight="true" outlineLevel="0" collapsed="false">
      <c r="A40" s="8" t="n">
        <v>35</v>
      </c>
      <c r="B40" s="10" t="s">
        <v>393</v>
      </c>
      <c r="C40" s="8" t="n">
        <f aca="false">FALSE()</f>
        <v>0</v>
      </c>
      <c r="D40" s="7" t="s">
        <v>382</v>
      </c>
      <c r="E40" s="10" t="s">
        <v>383</v>
      </c>
      <c r="F40" s="10" t="s">
        <v>322</v>
      </c>
      <c r="G40" s="8" t="n">
        <v>4</v>
      </c>
      <c r="H40" s="8" t="n">
        <v>20000</v>
      </c>
      <c r="I40" s="8" t="n">
        <v>80000</v>
      </c>
      <c r="J40" s="8" t="n">
        <v>60000</v>
      </c>
      <c r="K40" s="8" t="n">
        <v>400</v>
      </c>
    </row>
    <row r="41" customFormat="false" ht="31.5" hidden="false" customHeight="true" outlineLevel="0" collapsed="false">
      <c r="A41" s="8" t="n">
        <v>36</v>
      </c>
      <c r="B41" s="10" t="s">
        <v>394</v>
      </c>
      <c r="C41" s="8" t="n">
        <f aca="false">FALSE()</f>
        <v>0</v>
      </c>
      <c r="D41" s="7" t="s">
        <v>382</v>
      </c>
      <c r="E41" s="10" t="s">
        <v>383</v>
      </c>
      <c r="F41" s="10" t="s">
        <v>322</v>
      </c>
      <c r="G41" s="8" t="n">
        <v>8</v>
      </c>
      <c r="H41" s="8" t="n">
        <v>40000</v>
      </c>
      <c r="I41" s="8" t="n">
        <v>220000</v>
      </c>
      <c r="J41" s="8" t="n">
        <v>180000</v>
      </c>
      <c r="K41" s="8" t="n">
        <v>1700</v>
      </c>
    </row>
    <row r="42" customFormat="false" ht="31.5" hidden="false" customHeight="true" outlineLevel="0" collapsed="false">
      <c r="A42" s="8" t="n">
        <v>37</v>
      </c>
      <c r="B42" s="10" t="s">
        <v>395</v>
      </c>
      <c r="C42" s="8" t="n">
        <f aca="false">FALSE()</f>
        <v>0</v>
      </c>
      <c r="D42" s="7" t="s">
        <v>382</v>
      </c>
      <c r="E42" s="10" t="s">
        <v>383</v>
      </c>
      <c r="F42" s="10" t="s">
        <v>322</v>
      </c>
      <c r="G42" s="8" t="n">
        <v>8</v>
      </c>
      <c r="H42" s="8" t="n">
        <v>32000</v>
      </c>
      <c r="I42" s="8" t="n">
        <v>160000</v>
      </c>
      <c r="J42" s="8" t="n">
        <v>128000</v>
      </c>
      <c r="K42" s="8" t="n">
        <v>1700</v>
      </c>
    </row>
    <row r="43" customFormat="false" ht="31.5" hidden="false" customHeight="true" outlineLevel="0" collapsed="false">
      <c r="A43" s="8" t="n">
        <v>38</v>
      </c>
      <c r="B43" s="10" t="s">
        <v>396</v>
      </c>
      <c r="C43" s="8" t="n">
        <f aca="false">FALSE()</f>
        <v>0</v>
      </c>
      <c r="D43" s="7" t="s">
        <v>382</v>
      </c>
      <c r="E43" s="10" t="s">
        <v>383</v>
      </c>
      <c r="F43" s="10" t="s">
        <v>322</v>
      </c>
      <c r="G43" s="8" t="n">
        <v>8</v>
      </c>
      <c r="H43" s="8" t="n">
        <v>40000</v>
      </c>
      <c r="I43" s="8" t="n">
        <v>200000</v>
      </c>
      <c r="J43" s="8" t="n">
        <v>160000</v>
      </c>
      <c r="K43" s="8" t="n">
        <v>1600</v>
      </c>
    </row>
    <row r="44" customFormat="false" ht="31.5" hidden="false" customHeight="true" outlineLevel="0" collapsed="false">
      <c r="A44" s="8" t="n">
        <v>39</v>
      </c>
      <c r="B44" s="10" t="s">
        <v>397</v>
      </c>
      <c r="C44" s="8" t="n">
        <f aca="false">FALSE()</f>
        <v>0</v>
      </c>
      <c r="D44" s="7" t="s">
        <v>382</v>
      </c>
      <c r="E44" s="10" t="s">
        <v>383</v>
      </c>
      <c r="F44" s="10" t="s">
        <v>322</v>
      </c>
      <c r="G44" s="8" t="n">
        <v>8</v>
      </c>
      <c r="H44" s="8" t="n">
        <v>40000</v>
      </c>
      <c r="I44" s="8" t="n">
        <v>240000</v>
      </c>
      <c r="J44" s="8" t="n">
        <v>200000</v>
      </c>
      <c r="K44" s="8" t="n">
        <v>950</v>
      </c>
    </row>
  </sheetData>
  <autoFilter ref="A4:K44"/>
  <mergeCells count="3">
    <mergeCell ref="A1:K1"/>
    <mergeCell ref="A2:K2"/>
    <mergeCell ref="A3:K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.8"/>
    <col collapsed="false" customWidth="true" hidden="false" outlineLevel="0" max="7" min="4" style="1" width="14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  <c r="G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  <c r="G3" s="5"/>
    </row>
    <row r="4" customFormat="false" ht="31.5" hidden="false" customHeight="true" outlineLevel="0" collapsed="false">
      <c r="A4" s="6" t="s">
        <v>202</v>
      </c>
      <c r="B4" s="9" t="s">
        <v>233</v>
      </c>
      <c r="C4" s="9" t="s">
        <v>398</v>
      </c>
      <c r="D4" s="9" t="s">
        <v>399</v>
      </c>
      <c r="E4" s="9" t="s">
        <v>235</v>
      </c>
      <c r="F4" s="9" t="s">
        <v>400</v>
      </c>
      <c r="G4" s="9" t="s">
        <v>401</v>
      </c>
    </row>
    <row r="5" customFormat="false" ht="31.5" hidden="false" customHeight="true" outlineLevel="0" collapsed="false">
      <c r="A5" s="8" t="n">
        <v>0</v>
      </c>
      <c r="B5" s="10" t="s">
        <v>402</v>
      </c>
      <c r="C5" s="10" t="s">
        <v>403</v>
      </c>
      <c r="D5" s="8" t="n">
        <f aca="false">TRUE()</f>
        <v>1</v>
      </c>
      <c r="E5" s="10" t="s">
        <v>326</v>
      </c>
      <c r="F5" s="8" t="n">
        <v>65000</v>
      </c>
      <c r="G5" s="8" t="n">
        <v>1</v>
      </c>
    </row>
    <row r="6" customFormat="false" ht="31.5" hidden="false" customHeight="true" outlineLevel="0" collapsed="false">
      <c r="A6" s="8" t="n">
        <v>1</v>
      </c>
      <c r="B6" s="10" t="s">
        <v>404</v>
      </c>
      <c r="C6" s="10" t="s">
        <v>403</v>
      </c>
      <c r="D6" s="8" t="n">
        <f aca="false">TRUE()</f>
        <v>1</v>
      </c>
      <c r="E6" s="10" t="s">
        <v>326</v>
      </c>
      <c r="F6" s="8" t="n">
        <v>55000</v>
      </c>
      <c r="G6" s="8" t="n">
        <v>1</v>
      </c>
    </row>
    <row r="7" customFormat="false" ht="31.5" hidden="false" customHeight="true" outlineLevel="0" collapsed="false">
      <c r="A7" s="8" t="n">
        <v>2</v>
      </c>
      <c r="B7" s="10" t="s">
        <v>405</v>
      </c>
      <c r="C7" s="10" t="s">
        <v>403</v>
      </c>
      <c r="D7" s="8" t="n">
        <f aca="false">TRUE()</f>
        <v>1</v>
      </c>
      <c r="E7" s="10" t="s">
        <v>326</v>
      </c>
      <c r="F7" s="8" t="n">
        <v>55000</v>
      </c>
      <c r="G7" s="8" t="n">
        <v>1</v>
      </c>
    </row>
    <row r="8" customFormat="false" ht="31.5" hidden="false" customHeight="true" outlineLevel="0" collapsed="false">
      <c r="A8" s="8" t="n">
        <v>3</v>
      </c>
      <c r="B8" s="10" t="s">
        <v>406</v>
      </c>
      <c r="C8" s="10" t="s">
        <v>403</v>
      </c>
      <c r="D8" s="8" t="n">
        <f aca="false">TRUE()</f>
        <v>1</v>
      </c>
      <c r="E8" s="10" t="s">
        <v>326</v>
      </c>
      <c r="F8" s="8" t="n">
        <v>45000</v>
      </c>
      <c r="G8" s="8" t="n">
        <v>1</v>
      </c>
    </row>
    <row r="9" customFormat="false" ht="31.5" hidden="false" customHeight="true" outlineLevel="0" collapsed="false">
      <c r="A9" s="8" t="n">
        <v>4</v>
      </c>
      <c r="B9" s="10" t="s">
        <v>407</v>
      </c>
      <c r="C9" s="10" t="s">
        <v>403</v>
      </c>
      <c r="D9" s="8" t="n">
        <f aca="false">TRUE()</f>
        <v>1</v>
      </c>
      <c r="E9" s="10" t="s">
        <v>321</v>
      </c>
      <c r="F9" s="8" t="n">
        <v>135000</v>
      </c>
      <c r="G9" s="8" t="n">
        <v>1</v>
      </c>
    </row>
    <row r="10" customFormat="false" ht="31.5" hidden="false" customHeight="true" outlineLevel="0" collapsed="false">
      <c r="A10" s="8" t="n">
        <v>5</v>
      </c>
      <c r="B10" s="10" t="s">
        <v>408</v>
      </c>
      <c r="C10" s="10" t="s">
        <v>403</v>
      </c>
      <c r="D10" s="8" t="n">
        <f aca="false">TRUE()</f>
        <v>1</v>
      </c>
      <c r="E10" s="10" t="s">
        <v>321</v>
      </c>
      <c r="F10" s="8" t="n">
        <v>135000</v>
      </c>
      <c r="G10" s="8" t="n">
        <v>1</v>
      </c>
    </row>
    <row r="11" customFormat="false" ht="31.5" hidden="false" customHeight="true" outlineLevel="0" collapsed="false">
      <c r="A11" s="8" t="n">
        <v>6</v>
      </c>
      <c r="B11" s="10" t="s">
        <v>409</v>
      </c>
      <c r="C11" s="10" t="s">
        <v>403</v>
      </c>
      <c r="D11" s="8" t="n">
        <f aca="false">TRUE()</f>
        <v>1</v>
      </c>
      <c r="E11" s="10" t="s">
        <v>321</v>
      </c>
      <c r="F11" s="8" t="n">
        <v>110000</v>
      </c>
      <c r="G11" s="8" t="n">
        <v>1</v>
      </c>
    </row>
    <row r="12" customFormat="false" ht="31.5" hidden="false" customHeight="true" outlineLevel="0" collapsed="false">
      <c r="A12" s="8" t="n">
        <v>7</v>
      </c>
      <c r="B12" s="10" t="s">
        <v>410</v>
      </c>
      <c r="C12" s="10" t="s">
        <v>403</v>
      </c>
      <c r="D12" s="8" t="n">
        <f aca="false">TRUE()</f>
        <v>1</v>
      </c>
      <c r="E12" s="10" t="s">
        <v>321</v>
      </c>
      <c r="F12" s="8" t="n">
        <v>100000</v>
      </c>
      <c r="G12" s="8" t="n">
        <v>1</v>
      </c>
    </row>
    <row r="13" customFormat="false" ht="31.5" hidden="false" customHeight="true" outlineLevel="0" collapsed="false">
      <c r="A13" s="8" t="n">
        <v>8</v>
      </c>
      <c r="B13" s="10" t="s">
        <v>411</v>
      </c>
      <c r="C13" s="10" t="s">
        <v>403</v>
      </c>
      <c r="D13" s="8" t="n">
        <f aca="false">TRUE()</f>
        <v>1</v>
      </c>
      <c r="E13" s="10" t="s">
        <v>321</v>
      </c>
      <c r="F13" s="8" t="n">
        <v>100000</v>
      </c>
      <c r="G13" s="8" t="n">
        <v>1</v>
      </c>
    </row>
    <row r="14" customFormat="false" ht="31.5" hidden="false" customHeight="true" outlineLevel="0" collapsed="false">
      <c r="A14" s="8" t="n">
        <v>9</v>
      </c>
      <c r="B14" s="10" t="s">
        <v>412</v>
      </c>
      <c r="C14" s="10" t="s">
        <v>403</v>
      </c>
      <c r="D14" s="8" t="n">
        <f aca="false">TRUE()</f>
        <v>1</v>
      </c>
      <c r="E14" s="10" t="s">
        <v>321</v>
      </c>
      <c r="F14" s="8" t="n">
        <v>90000</v>
      </c>
      <c r="G14" s="8" t="n">
        <v>1</v>
      </c>
    </row>
    <row r="15" customFormat="false" ht="31.5" hidden="false" customHeight="true" outlineLevel="0" collapsed="false">
      <c r="A15" s="8" t="n">
        <v>10</v>
      </c>
      <c r="B15" s="10" t="s">
        <v>413</v>
      </c>
      <c r="C15" s="10" t="s">
        <v>403</v>
      </c>
      <c r="D15" s="8" t="n">
        <f aca="false">TRUE()</f>
        <v>1</v>
      </c>
      <c r="E15" s="10" t="s">
        <v>321</v>
      </c>
      <c r="F15" s="8" t="n">
        <v>65000</v>
      </c>
      <c r="G15" s="8" t="n">
        <v>1</v>
      </c>
    </row>
    <row r="16" customFormat="false" ht="31.5" hidden="false" customHeight="true" outlineLevel="0" collapsed="false">
      <c r="A16" s="8" t="n">
        <v>11</v>
      </c>
      <c r="B16" s="10" t="s">
        <v>414</v>
      </c>
      <c r="C16" s="10" t="s">
        <v>403</v>
      </c>
      <c r="D16" s="8" t="n">
        <f aca="false">TRUE()</f>
        <v>1</v>
      </c>
      <c r="E16" s="10" t="s">
        <v>383</v>
      </c>
      <c r="F16" s="8" t="n">
        <v>40000</v>
      </c>
      <c r="G16" s="8" t="n">
        <v>1</v>
      </c>
    </row>
    <row r="17" customFormat="false" ht="31.5" hidden="false" customHeight="true" outlineLevel="0" collapsed="false">
      <c r="A17" s="8" t="n">
        <v>12</v>
      </c>
      <c r="B17" s="10" t="s">
        <v>415</v>
      </c>
      <c r="C17" s="10" t="s">
        <v>403</v>
      </c>
      <c r="D17" s="8" t="n">
        <f aca="false">TRUE()</f>
        <v>1</v>
      </c>
      <c r="E17" s="10" t="s">
        <v>383</v>
      </c>
      <c r="F17" s="8" t="n">
        <v>40000</v>
      </c>
      <c r="G17" s="8" t="n">
        <v>1</v>
      </c>
    </row>
    <row r="18" customFormat="false" ht="31.5" hidden="false" customHeight="true" outlineLevel="0" collapsed="false">
      <c r="A18" s="8" t="n">
        <v>13</v>
      </c>
      <c r="B18" s="10" t="s">
        <v>416</v>
      </c>
      <c r="C18" s="10" t="s">
        <v>403</v>
      </c>
      <c r="D18" s="8" t="n">
        <f aca="false">TRUE()</f>
        <v>1</v>
      </c>
      <c r="E18" s="10" t="s">
        <v>383</v>
      </c>
      <c r="F18" s="8" t="n">
        <v>35000</v>
      </c>
      <c r="G18" s="8" t="n">
        <v>1</v>
      </c>
    </row>
    <row r="19" customFormat="false" ht="31.5" hidden="false" customHeight="true" outlineLevel="0" collapsed="false">
      <c r="A19" s="8" t="n">
        <v>14</v>
      </c>
      <c r="B19" s="10" t="s">
        <v>417</v>
      </c>
      <c r="C19" s="10" t="s">
        <v>403</v>
      </c>
      <c r="D19" s="8" t="n">
        <f aca="false">TRUE()</f>
        <v>1</v>
      </c>
      <c r="E19" s="10" t="s">
        <v>383</v>
      </c>
      <c r="F19" s="8" t="n">
        <v>35000</v>
      </c>
      <c r="G19" s="8" t="n">
        <v>1</v>
      </c>
    </row>
    <row r="20" customFormat="false" ht="31.5" hidden="false" customHeight="true" outlineLevel="0" collapsed="false">
      <c r="A20" s="8" t="n">
        <v>15</v>
      </c>
      <c r="B20" s="10" t="s">
        <v>418</v>
      </c>
      <c r="C20" s="10" t="s">
        <v>403</v>
      </c>
      <c r="D20" s="8" t="n">
        <f aca="false">TRUE()</f>
        <v>1</v>
      </c>
      <c r="E20" s="10" t="s">
        <v>383</v>
      </c>
      <c r="F20" s="8" t="n">
        <v>35000</v>
      </c>
      <c r="G20" s="8" t="n">
        <v>1</v>
      </c>
    </row>
    <row r="21" customFormat="false" ht="31.5" hidden="false" customHeight="true" outlineLevel="0" collapsed="false">
      <c r="A21" s="8" t="n">
        <v>16</v>
      </c>
      <c r="B21" s="10" t="s">
        <v>419</v>
      </c>
      <c r="C21" s="10" t="s">
        <v>403</v>
      </c>
      <c r="D21" s="8" t="n">
        <f aca="false">TRUE()</f>
        <v>1</v>
      </c>
      <c r="E21" s="10" t="s">
        <v>383</v>
      </c>
      <c r="F21" s="8" t="n">
        <v>30000</v>
      </c>
      <c r="G21" s="8" t="n">
        <v>1</v>
      </c>
    </row>
    <row r="22" customFormat="false" ht="31.5" hidden="false" customHeight="true" outlineLevel="0" collapsed="false">
      <c r="A22" s="8" t="n">
        <v>17</v>
      </c>
      <c r="B22" s="10" t="s">
        <v>420</v>
      </c>
      <c r="C22" s="10" t="s">
        <v>403</v>
      </c>
      <c r="D22" s="8" t="n">
        <f aca="false">TRUE()</f>
        <v>1</v>
      </c>
      <c r="E22" s="10" t="s">
        <v>383</v>
      </c>
      <c r="F22" s="8" t="n">
        <v>30000</v>
      </c>
      <c r="G22" s="8" t="n">
        <v>1</v>
      </c>
    </row>
    <row r="23" customFormat="false" ht="31.5" hidden="false" customHeight="true" outlineLevel="0" collapsed="false">
      <c r="A23" s="8" t="n">
        <v>18</v>
      </c>
      <c r="B23" s="10" t="s">
        <v>421</v>
      </c>
      <c r="C23" s="10" t="s">
        <v>403</v>
      </c>
      <c r="D23" s="8" t="n">
        <f aca="false">TRUE()</f>
        <v>1</v>
      </c>
      <c r="E23" s="10" t="s">
        <v>383</v>
      </c>
      <c r="F23" s="8" t="n">
        <v>30000</v>
      </c>
      <c r="G23" s="8" t="n">
        <v>1</v>
      </c>
    </row>
    <row r="24" customFormat="false" ht="31.5" hidden="false" customHeight="true" outlineLevel="0" collapsed="false">
      <c r="A24" s="8" t="n">
        <v>19</v>
      </c>
      <c r="B24" s="10" t="s">
        <v>422</v>
      </c>
      <c r="C24" s="10" t="s">
        <v>403</v>
      </c>
      <c r="D24" s="8" t="n">
        <f aca="false">TRUE()</f>
        <v>1</v>
      </c>
      <c r="E24" s="10" t="s">
        <v>383</v>
      </c>
      <c r="F24" s="8" t="n">
        <v>25000</v>
      </c>
      <c r="G24" s="8" t="n">
        <v>1</v>
      </c>
    </row>
    <row r="25" customFormat="false" ht="31.5" hidden="false" customHeight="true" outlineLevel="0" collapsed="false">
      <c r="A25" s="8" t="n">
        <v>20</v>
      </c>
      <c r="B25" s="10" t="s">
        <v>423</v>
      </c>
      <c r="C25" s="10" t="s">
        <v>403</v>
      </c>
      <c r="D25" s="8" t="n">
        <f aca="false">TRUE()</f>
        <v>1</v>
      </c>
      <c r="E25" s="10" t="s">
        <v>383</v>
      </c>
      <c r="F25" s="8" t="n">
        <v>25000</v>
      </c>
      <c r="G25" s="8" t="n">
        <v>1</v>
      </c>
    </row>
    <row r="26" customFormat="false" ht="31.5" hidden="false" customHeight="true" outlineLevel="0" collapsed="false">
      <c r="A26" s="8" t="n">
        <v>21</v>
      </c>
      <c r="B26" s="10" t="s">
        <v>424</v>
      </c>
      <c r="C26" s="10" t="s">
        <v>403</v>
      </c>
      <c r="D26" s="8" t="n">
        <f aca="false">TRUE()</f>
        <v>1</v>
      </c>
      <c r="E26" s="10" t="s">
        <v>377</v>
      </c>
      <c r="F26" s="8" t="n">
        <v>45000</v>
      </c>
      <c r="G26" s="8" t="n">
        <v>1</v>
      </c>
    </row>
    <row r="27" customFormat="false" ht="31.5" hidden="false" customHeight="true" outlineLevel="0" collapsed="false">
      <c r="A27" s="8" t="n">
        <v>22</v>
      </c>
      <c r="B27" s="10" t="s">
        <v>425</v>
      </c>
      <c r="C27" s="10" t="s">
        <v>403</v>
      </c>
      <c r="D27" s="8" t="n">
        <f aca="false">TRUE()</f>
        <v>1</v>
      </c>
      <c r="E27" s="10" t="s">
        <v>377</v>
      </c>
      <c r="F27" s="8" t="n">
        <v>40000</v>
      </c>
      <c r="G27" s="8" t="n">
        <v>1</v>
      </c>
    </row>
    <row r="28" customFormat="false" ht="31.5" hidden="false" customHeight="true" outlineLevel="0" collapsed="false">
      <c r="A28" s="8" t="n">
        <v>23</v>
      </c>
      <c r="B28" s="10" t="s">
        <v>426</v>
      </c>
      <c r="C28" s="10" t="s">
        <v>403</v>
      </c>
      <c r="D28" s="8" t="n">
        <f aca="false">TRUE()</f>
        <v>1</v>
      </c>
      <c r="E28" s="10" t="s">
        <v>377</v>
      </c>
      <c r="F28" s="8" t="n">
        <v>30000</v>
      </c>
      <c r="G28" s="8" t="n">
        <v>12</v>
      </c>
    </row>
    <row r="29" customFormat="false" ht="31.5" hidden="false" customHeight="true" outlineLevel="0" collapsed="false">
      <c r="A29" s="8" t="n">
        <v>24</v>
      </c>
      <c r="B29" s="10" t="s">
        <v>427</v>
      </c>
      <c r="C29" s="10" t="s">
        <v>403</v>
      </c>
      <c r="D29" s="8" t="n">
        <f aca="false">TRUE()</f>
        <v>1</v>
      </c>
      <c r="E29" s="10" t="s">
        <v>377</v>
      </c>
      <c r="F29" s="8" t="n">
        <v>25000</v>
      </c>
      <c r="G29" s="8" t="n">
        <v>1</v>
      </c>
    </row>
    <row r="30" customFormat="false" ht="31.5" hidden="false" customHeight="true" outlineLevel="0" collapsed="false">
      <c r="A30" s="8" t="n">
        <v>25</v>
      </c>
      <c r="B30" s="10" t="s">
        <v>428</v>
      </c>
      <c r="C30" s="10" t="s">
        <v>429</v>
      </c>
      <c r="D30" s="8" t="n">
        <f aca="false">TRUE()</f>
        <v>1</v>
      </c>
      <c r="E30" s="10" t="s">
        <v>430</v>
      </c>
      <c r="F30" s="8" t="n">
        <v>0</v>
      </c>
      <c r="G30" s="8" t="n">
        <v>1</v>
      </c>
    </row>
    <row r="31" customFormat="false" ht="31.5" hidden="false" customHeight="true" outlineLevel="0" collapsed="false">
      <c r="A31" s="8" t="n">
        <v>26</v>
      </c>
      <c r="B31" s="10" t="s">
        <v>431</v>
      </c>
      <c r="C31" s="10" t="s">
        <v>429</v>
      </c>
      <c r="D31" s="8" t="n">
        <f aca="false">TRUE()</f>
        <v>1</v>
      </c>
      <c r="E31" s="10" t="s">
        <v>432</v>
      </c>
      <c r="F31" s="8" t="n">
        <v>0</v>
      </c>
      <c r="G31" s="8" t="n">
        <v>1</v>
      </c>
    </row>
    <row r="32" customFormat="false" ht="31.5" hidden="false" customHeight="true" outlineLevel="0" collapsed="false">
      <c r="A32" s="8" t="n">
        <v>27</v>
      </c>
      <c r="B32" s="10" t="s">
        <v>433</v>
      </c>
      <c r="C32" s="10" t="s">
        <v>434</v>
      </c>
      <c r="D32" s="8" t="n">
        <f aca="false">FALSE()</f>
        <v>0</v>
      </c>
      <c r="E32" s="10" t="s">
        <v>321</v>
      </c>
      <c r="F32" s="8" t="n">
        <v>0</v>
      </c>
      <c r="G32" s="8" t="n">
        <v>1</v>
      </c>
    </row>
    <row r="33" customFormat="false" ht="31.5" hidden="false" customHeight="true" outlineLevel="0" collapsed="false">
      <c r="A33" s="8" t="n">
        <v>28</v>
      </c>
      <c r="B33" s="10" t="s">
        <v>435</v>
      </c>
      <c r="C33" s="10" t="s">
        <v>436</v>
      </c>
      <c r="D33" s="8" t="n">
        <f aca="false">FALSE()</f>
        <v>0</v>
      </c>
      <c r="E33" s="10" t="s">
        <v>321</v>
      </c>
      <c r="F33" s="8" t="n">
        <v>50000</v>
      </c>
      <c r="G33" s="8" t="n">
        <v>1</v>
      </c>
    </row>
    <row r="34" customFormat="false" ht="31.5" hidden="false" customHeight="true" outlineLevel="0" collapsed="false">
      <c r="A34" s="8" t="n">
        <v>29</v>
      </c>
      <c r="B34" s="10" t="s">
        <v>437</v>
      </c>
      <c r="C34" s="10" t="s">
        <v>438</v>
      </c>
      <c r="D34" s="8" t="n">
        <f aca="false">TRUE()</f>
        <v>1</v>
      </c>
      <c r="E34" s="10" t="s">
        <v>338</v>
      </c>
      <c r="F34" s="8" t="n">
        <v>3</v>
      </c>
      <c r="G34" s="8" t="n">
        <v>1</v>
      </c>
    </row>
    <row r="35" customFormat="false" ht="31.5" hidden="false" customHeight="true" outlineLevel="0" collapsed="false">
      <c r="A35" s="8" t="n">
        <v>30</v>
      </c>
      <c r="B35" s="10" t="s">
        <v>439</v>
      </c>
      <c r="C35" s="10" t="s">
        <v>438</v>
      </c>
      <c r="D35" s="8" t="n">
        <f aca="false">TRUE()</f>
        <v>1</v>
      </c>
      <c r="E35" s="10" t="s">
        <v>338</v>
      </c>
      <c r="F35" s="8" t="n">
        <v>2</v>
      </c>
      <c r="G35" s="8" t="n">
        <v>1</v>
      </c>
    </row>
    <row r="36" customFormat="false" ht="31.5" hidden="false" customHeight="true" outlineLevel="0" collapsed="false">
      <c r="A36" s="8" t="n">
        <v>31</v>
      </c>
      <c r="B36" s="10" t="s">
        <v>440</v>
      </c>
      <c r="C36" s="10" t="s">
        <v>438</v>
      </c>
      <c r="D36" s="8" t="n">
        <f aca="false">TRUE()</f>
        <v>1</v>
      </c>
      <c r="E36" s="10" t="s">
        <v>338</v>
      </c>
      <c r="F36" s="8" t="n">
        <v>2</v>
      </c>
      <c r="G36" s="8" t="n">
        <v>1</v>
      </c>
    </row>
    <row r="37" customFormat="false" ht="31.5" hidden="false" customHeight="true" outlineLevel="0" collapsed="false">
      <c r="A37" s="8" t="n">
        <v>32</v>
      </c>
      <c r="B37" s="10" t="s">
        <v>441</v>
      </c>
      <c r="C37" s="10" t="s">
        <v>442</v>
      </c>
      <c r="D37" s="8" t="n">
        <f aca="false">FALSE()</f>
        <v>0</v>
      </c>
      <c r="E37" s="10" t="s">
        <v>443</v>
      </c>
      <c r="F37" s="8" t="n">
        <v>500</v>
      </c>
      <c r="G37" s="8" t="n">
        <v>1</v>
      </c>
    </row>
    <row r="38" customFormat="false" ht="31.5" hidden="false" customHeight="true" outlineLevel="0" collapsed="false">
      <c r="A38" s="8" t="n">
        <v>33</v>
      </c>
      <c r="B38" s="10" t="s">
        <v>444</v>
      </c>
      <c r="C38" s="10" t="s">
        <v>442</v>
      </c>
      <c r="D38" s="8" t="n">
        <f aca="false">FALSE()</f>
        <v>0</v>
      </c>
      <c r="E38" s="10" t="s">
        <v>443</v>
      </c>
      <c r="F38" s="8" t="n">
        <v>1000</v>
      </c>
      <c r="G38" s="8" t="n">
        <v>1</v>
      </c>
    </row>
    <row r="39" customFormat="false" ht="31.5" hidden="false" customHeight="true" outlineLevel="0" collapsed="false">
      <c r="A39" s="8" t="n">
        <v>34</v>
      </c>
      <c r="B39" s="10" t="s">
        <v>445</v>
      </c>
      <c r="C39" s="10" t="s">
        <v>442</v>
      </c>
      <c r="D39" s="8" t="n">
        <f aca="false">FALSE()</f>
        <v>0</v>
      </c>
      <c r="E39" s="10" t="s">
        <v>446</v>
      </c>
      <c r="F39" s="8" t="n">
        <v>2000</v>
      </c>
      <c r="G39" s="8" t="n">
        <v>1</v>
      </c>
    </row>
    <row r="40" customFormat="false" ht="31.5" hidden="false" customHeight="true" outlineLevel="0" collapsed="false">
      <c r="A40" s="8" t="n">
        <v>35</v>
      </c>
      <c r="B40" s="10" t="s">
        <v>447</v>
      </c>
      <c r="C40" s="10" t="s">
        <v>403</v>
      </c>
      <c r="D40" s="8" t="n">
        <f aca="false">TRUE()</f>
        <v>1</v>
      </c>
      <c r="E40" s="10" t="s">
        <v>318</v>
      </c>
      <c r="F40" s="8" t="n">
        <v>5000</v>
      </c>
      <c r="G40" s="8" t="n">
        <v>1</v>
      </c>
    </row>
    <row r="41" customFormat="false" ht="31.5" hidden="false" customHeight="true" outlineLevel="0" collapsed="false">
      <c r="A41" s="8" t="n">
        <v>36</v>
      </c>
      <c r="B41" s="10" t="s">
        <v>448</v>
      </c>
      <c r="C41" s="10" t="s">
        <v>403</v>
      </c>
      <c r="D41" s="8" t="n">
        <f aca="false">TRUE()</f>
        <v>1</v>
      </c>
      <c r="E41" s="10" t="s">
        <v>315</v>
      </c>
      <c r="F41" s="8" t="n">
        <v>600</v>
      </c>
      <c r="G41" s="8" t="n">
        <v>1</v>
      </c>
    </row>
    <row r="42" customFormat="false" ht="31.5" hidden="false" customHeight="true" outlineLevel="0" collapsed="false">
      <c r="A42" s="8" t="n">
        <v>37</v>
      </c>
      <c r="B42" s="10" t="s">
        <v>449</v>
      </c>
      <c r="C42" s="10" t="s">
        <v>403</v>
      </c>
      <c r="D42" s="8" t="n">
        <f aca="false">TRUE()</f>
        <v>1</v>
      </c>
      <c r="E42" s="10" t="s">
        <v>259</v>
      </c>
      <c r="F42" s="8" t="n">
        <v>50000</v>
      </c>
      <c r="G42" s="8" t="n">
        <v>1</v>
      </c>
    </row>
    <row r="43" customFormat="false" ht="31.5" hidden="false" customHeight="true" outlineLevel="0" collapsed="false">
      <c r="A43" s="8" t="n">
        <v>38</v>
      </c>
      <c r="B43" s="10" t="s">
        <v>450</v>
      </c>
      <c r="C43" s="10" t="s">
        <v>403</v>
      </c>
      <c r="D43" s="8" t="n">
        <f aca="false">TRUE()</f>
        <v>1</v>
      </c>
      <c r="E43" s="10" t="s">
        <v>263</v>
      </c>
      <c r="F43" s="8" t="n">
        <v>100000</v>
      </c>
      <c r="G43" s="8" t="n">
        <v>1</v>
      </c>
    </row>
    <row r="44" customFormat="false" ht="31.5" hidden="false" customHeight="true" outlineLevel="0" collapsed="false">
      <c r="A44" s="8" t="n">
        <v>39</v>
      </c>
      <c r="B44" s="10" t="s">
        <v>451</v>
      </c>
      <c r="C44" s="10" t="s">
        <v>403</v>
      </c>
      <c r="D44" s="8" t="n">
        <f aca="false">TRUE()</f>
        <v>1</v>
      </c>
      <c r="E44" s="10" t="s">
        <v>360</v>
      </c>
      <c r="F44" s="8" t="n">
        <v>250000</v>
      </c>
      <c r="G44" s="8" t="n">
        <v>1</v>
      </c>
    </row>
    <row r="45" customFormat="false" ht="31.5" hidden="false" customHeight="true" outlineLevel="0" collapsed="false">
      <c r="A45" s="8" t="n">
        <v>40</v>
      </c>
      <c r="B45" s="10" t="s">
        <v>452</v>
      </c>
      <c r="C45" s="10" t="s">
        <v>403</v>
      </c>
      <c r="D45" s="8" t="n">
        <f aca="false">TRUE()</f>
        <v>1</v>
      </c>
      <c r="E45" s="10" t="s">
        <v>350</v>
      </c>
      <c r="F45" s="8" t="n">
        <v>250000</v>
      </c>
      <c r="G45" s="8" t="n">
        <v>1</v>
      </c>
    </row>
    <row r="46" customFormat="false" ht="31.5" hidden="false" customHeight="true" outlineLevel="0" collapsed="false">
      <c r="A46" s="8" t="n">
        <v>41</v>
      </c>
      <c r="B46" s="10" t="s">
        <v>453</v>
      </c>
      <c r="C46" s="10" t="s">
        <v>403</v>
      </c>
      <c r="D46" s="8" t="n">
        <f aca="false">TRUE()</f>
        <v>1</v>
      </c>
      <c r="E46" s="10" t="s">
        <v>363</v>
      </c>
      <c r="F46" s="8" t="n">
        <v>100000</v>
      </c>
      <c r="G46" s="8" t="n">
        <v>1</v>
      </c>
    </row>
    <row r="47" customFormat="false" ht="31.5" hidden="false" customHeight="true" outlineLevel="0" collapsed="false">
      <c r="A47" s="8" t="n">
        <v>42</v>
      </c>
      <c r="B47" s="10" t="s">
        <v>454</v>
      </c>
      <c r="C47" s="10" t="s">
        <v>403</v>
      </c>
      <c r="D47" s="8" t="n">
        <f aca="false">TRUE()</f>
        <v>1</v>
      </c>
      <c r="E47" s="10" t="s">
        <v>312</v>
      </c>
      <c r="F47" s="8" t="n">
        <v>150000</v>
      </c>
      <c r="G47" s="8" t="n">
        <v>1</v>
      </c>
    </row>
    <row r="48" customFormat="false" ht="31.5" hidden="false" customHeight="true" outlineLevel="0" collapsed="false">
      <c r="A48" s="8" t="n">
        <v>43</v>
      </c>
      <c r="B48" s="10" t="s">
        <v>455</v>
      </c>
      <c r="C48" s="10" t="s">
        <v>403</v>
      </c>
      <c r="D48" s="8" t="n">
        <f aca="false">TRUE()</f>
        <v>1</v>
      </c>
      <c r="E48" s="10" t="s">
        <v>366</v>
      </c>
      <c r="F48" s="8" t="n">
        <v>200000</v>
      </c>
      <c r="G48" s="8" t="n">
        <v>1</v>
      </c>
    </row>
    <row r="49" customFormat="false" ht="31.5" hidden="false" customHeight="true" outlineLevel="0" collapsed="false">
      <c r="A49" s="8" t="n">
        <v>44</v>
      </c>
      <c r="B49" s="10" t="s">
        <v>456</v>
      </c>
      <c r="C49" s="10" t="s">
        <v>457</v>
      </c>
      <c r="D49" s="8" t="n">
        <f aca="false">FALSE()</f>
        <v>0</v>
      </c>
      <c r="E49" s="10" t="s">
        <v>321</v>
      </c>
      <c r="F49" s="8" t="n">
        <v>500</v>
      </c>
      <c r="G49" s="8" t="n">
        <v>1</v>
      </c>
    </row>
  </sheetData>
  <autoFilter ref="A4:G49"/>
  <mergeCells count="3">
    <mergeCell ref="A1:G1"/>
    <mergeCell ref="A2:G2"/>
    <mergeCell ref="A3:G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14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</row>
    <row r="4" customFormat="false" ht="31.5" hidden="false" customHeight="true" outlineLevel="0" collapsed="false">
      <c r="A4" s="6" t="s">
        <v>202</v>
      </c>
      <c r="B4" s="9" t="s">
        <v>233</v>
      </c>
      <c r="C4" s="9" t="s">
        <v>204</v>
      </c>
      <c r="D4" s="9" t="s">
        <v>458</v>
      </c>
      <c r="E4" s="9" t="s">
        <v>459</v>
      </c>
      <c r="F4" s="9" t="s">
        <v>460</v>
      </c>
    </row>
    <row r="5" customFormat="false" ht="31.5" hidden="false" customHeight="true" outlineLevel="0" collapsed="false">
      <c r="A5" s="8" t="n">
        <v>0</v>
      </c>
      <c r="B5" s="10" t="s">
        <v>461</v>
      </c>
      <c r="C5" s="7" t="s">
        <v>462</v>
      </c>
      <c r="D5" s="8" t="n">
        <v>40</v>
      </c>
      <c r="E5" s="7"/>
      <c r="F5" s="8" t="n">
        <v>0</v>
      </c>
    </row>
    <row r="6" customFormat="false" ht="31.5" hidden="false" customHeight="true" outlineLevel="0" collapsed="false">
      <c r="A6" s="8" t="n">
        <v>1</v>
      </c>
      <c r="B6" s="10" t="s">
        <v>463</v>
      </c>
      <c r="C6" s="7" t="s">
        <v>464</v>
      </c>
      <c r="D6" s="8" t="n">
        <v>200</v>
      </c>
      <c r="E6" s="7"/>
      <c r="F6" s="8" t="n">
        <v>0</v>
      </c>
    </row>
    <row r="7" customFormat="false" ht="31.5" hidden="false" customHeight="true" outlineLevel="0" collapsed="false">
      <c r="A7" s="8" t="n">
        <v>2</v>
      </c>
      <c r="B7" s="10" t="s">
        <v>465</v>
      </c>
      <c r="C7" s="7" t="s">
        <v>466</v>
      </c>
      <c r="D7" s="8" t="n">
        <v>350</v>
      </c>
      <c r="E7" s="7"/>
      <c r="F7" s="8" t="n">
        <v>0</v>
      </c>
    </row>
    <row r="8" customFormat="false" ht="31.5" hidden="false" customHeight="true" outlineLevel="0" collapsed="false">
      <c r="A8" s="8" t="n">
        <v>3</v>
      </c>
      <c r="B8" s="10" t="s">
        <v>467</v>
      </c>
      <c r="C8" s="7" t="s">
        <v>468</v>
      </c>
      <c r="D8" s="8" t="n">
        <v>600</v>
      </c>
      <c r="E8" s="7"/>
      <c r="F8" s="8" t="n">
        <v>0</v>
      </c>
    </row>
    <row r="9" customFormat="false" ht="31.5" hidden="false" customHeight="true" outlineLevel="0" collapsed="false">
      <c r="A9" s="8" t="n">
        <v>4</v>
      </c>
      <c r="B9" s="10" t="s">
        <v>469</v>
      </c>
      <c r="C9" s="7" t="s">
        <v>470</v>
      </c>
      <c r="D9" s="8" t="n">
        <v>500</v>
      </c>
      <c r="E9" s="7"/>
      <c r="F9" s="8" t="n">
        <v>0</v>
      </c>
    </row>
    <row r="10" customFormat="false" ht="31.5" hidden="false" customHeight="true" outlineLevel="0" collapsed="false">
      <c r="A10" s="8" t="n">
        <v>5</v>
      </c>
      <c r="B10" s="10" t="s">
        <v>471</v>
      </c>
      <c r="C10" s="7" t="s">
        <v>472</v>
      </c>
      <c r="D10" s="8" t="n">
        <v>100</v>
      </c>
      <c r="E10" s="7"/>
      <c r="F10" s="8" t="n">
        <v>0</v>
      </c>
    </row>
    <row r="11" customFormat="false" ht="31.5" hidden="false" customHeight="true" outlineLevel="0" collapsed="false">
      <c r="A11" s="8" t="n">
        <v>6</v>
      </c>
      <c r="B11" s="10" t="s">
        <v>473</v>
      </c>
      <c r="C11" s="7" t="s">
        <v>474</v>
      </c>
      <c r="D11" s="8" t="n">
        <v>100</v>
      </c>
      <c r="E11" s="7"/>
      <c r="F11" s="8" t="n">
        <v>0</v>
      </c>
    </row>
    <row r="12" customFormat="false" ht="31.5" hidden="false" customHeight="true" outlineLevel="0" collapsed="false">
      <c r="A12" s="8" t="n">
        <v>7</v>
      </c>
      <c r="B12" s="10" t="s">
        <v>475</v>
      </c>
      <c r="C12" s="7" t="s">
        <v>476</v>
      </c>
      <c r="D12" s="8" t="n">
        <v>10</v>
      </c>
      <c r="E12" s="7"/>
      <c r="F12" s="8" t="n">
        <v>0</v>
      </c>
    </row>
    <row r="13" customFormat="false" ht="31.5" hidden="false" customHeight="true" outlineLevel="0" collapsed="false">
      <c r="A13" s="8" t="n">
        <v>8</v>
      </c>
      <c r="B13" s="10" t="s">
        <v>477</v>
      </c>
      <c r="C13" s="7" t="s">
        <v>478</v>
      </c>
      <c r="D13" s="8" t="n">
        <v>100</v>
      </c>
      <c r="E13" s="7"/>
      <c r="F13" s="8" t="n">
        <v>0</v>
      </c>
    </row>
    <row r="14" customFormat="false" ht="31.5" hidden="false" customHeight="true" outlineLevel="0" collapsed="false">
      <c r="A14" s="8" t="n">
        <v>9</v>
      </c>
      <c r="B14" s="10" t="s">
        <v>479</v>
      </c>
      <c r="C14" s="7" t="s">
        <v>480</v>
      </c>
      <c r="D14" s="8" t="n">
        <v>50</v>
      </c>
      <c r="E14" s="7"/>
      <c r="F14" s="8" t="n">
        <v>0</v>
      </c>
    </row>
    <row r="15" customFormat="false" ht="31.5" hidden="false" customHeight="true" outlineLevel="0" collapsed="false">
      <c r="A15" s="8" t="n">
        <v>10</v>
      </c>
      <c r="B15" s="10" t="s">
        <v>481</v>
      </c>
      <c r="C15" s="7" t="s">
        <v>482</v>
      </c>
      <c r="D15" s="8" t="n">
        <v>150</v>
      </c>
      <c r="E15" s="7"/>
      <c r="F15" s="8" t="n">
        <v>0</v>
      </c>
    </row>
    <row r="16" customFormat="false" ht="31.5" hidden="false" customHeight="true" outlineLevel="0" collapsed="false">
      <c r="A16" s="8" t="n">
        <v>11</v>
      </c>
      <c r="B16" s="10" t="s">
        <v>483</v>
      </c>
      <c r="C16" s="7" t="s">
        <v>484</v>
      </c>
      <c r="D16" s="8" t="n">
        <v>80</v>
      </c>
      <c r="E16" s="7"/>
      <c r="F16" s="8" t="n">
        <v>0</v>
      </c>
    </row>
    <row r="17" customFormat="false" ht="31.5" hidden="false" customHeight="true" outlineLevel="0" collapsed="false">
      <c r="A17" s="8" t="n">
        <v>12</v>
      </c>
      <c r="B17" s="10" t="s">
        <v>485</v>
      </c>
      <c r="C17" s="7" t="s">
        <v>486</v>
      </c>
      <c r="D17" s="8" t="n">
        <v>80</v>
      </c>
      <c r="E17" s="7"/>
      <c r="F17" s="8" t="n">
        <v>0</v>
      </c>
    </row>
    <row r="18" customFormat="false" ht="31.5" hidden="false" customHeight="true" outlineLevel="0" collapsed="false">
      <c r="A18" s="8" t="n">
        <v>13</v>
      </c>
      <c r="B18" s="10" t="s">
        <v>487</v>
      </c>
      <c r="C18" s="7" t="s">
        <v>488</v>
      </c>
      <c r="D18" s="8" t="n">
        <v>100</v>
      </c>
      <c r="E18" s="7"/>
      <c r="F18" s="8" t="n">
        <v>0</v>
      </c>
    </row>
    <row r="19" customFormat="false" ht="31.5" hidden="false" customHeight="true" outlineLevel="0" collapsed="false">
      <c r="A19" s="8" t="n">
        <v>14</v>
      </c>
      <c r="B19" s="10" t="s">
        <v>489</v>
      </c>
      <c r="C19" s="7" t="s">
        <v>490</v>
      </c>
      <c r="D19" s="8" t="n">
        <v>300</v>
      </c>
      <c r="E19" s="7"/>
      <c r="F19" s="8" t="n">
        <v>0</v>
      </c>
    </row>
    <row r="20" customFormat="false" ht="31.5" hidden="false" customHeight="true" outlineLevel="0" collapsed="false">
      <c r="A20" s="8" t="n">
        <v>15</v>
      </c>
      <c r="B20" s="10" t="s">
        <v>491</v>
      </c>
      <c r="C20" s="7" t="s">
        <v>492</v>
      </c>
      <c r="D20" s="8" t="n">
        <v>200</v>
      </c>
      <c r="E20" s="7"/>
      <c r="F20" s="8" t="n">
        <v>0</v>
      </c>
    </row>
    <row r="21" customFormat="false" ht="31.5" hidden="false" customHeight="true" outlineLevel="0" collapsed="false">
      <c r="A21" s="8" t="n">
        <v>16</v>
      </c>
      <c r="B21" s="10" t="s">
        <v>493</v>
      </c>
      <c r="C21" s="7" t="s">
        <v>494</v>
      </c>
      <c r="D21" s="8" t="n">
        <v>700</v>
      </c>
      <c r="E21" s="7"/>
      <c r="F21" s="8" t="n">
        <v>0</v>
      </c>
    </row>
    <row r="22" customFormat="false" ht="31.5" hidden="false" customHeight="true" outlineLevel="0" collapsed="false">
      <c r="A22" s="8" t="n">
        <v>17</v>
      </c>
      <c r="B22" s="10" t="s">
        <v>495</v>
      </c>
      <c r="C22" s="7" t="s">
        <v>496</v>
      </c>
      <c r="D22" s="8" t="n">
        <v>300</v>
      </c>
      <c r="E22" s="7"/>
      <c r="F22" s="8" t="n">
        <v>0</v>
      </c>
    </row>
    <row r="23" customFormat="false" ht="31.5" hidden="false" customHeight="true" outlineLevel="0" collapsed="false">
      <c r="A23" s="8" t="n">
        <v>18</v>
      </c>
      <c r="B23" s="10" t="s">
        <v>497</v>
      </c>
      <c r="C23" s="7" t="s">
        <v>498</v>
      </c>
      <c r="D23" s="8" t="n">
        <v>80</v>
      </c>
      <c r="E23" s="7"/>
      <c r="F23" s="8" t="n">
        <v>0</v>
      </c>
    </row>
    <row r="24" customFormat="false" ht="31.5" hidden="false" customHeight="true" outlineLevel="0" collapsed="false">
      <c r="A24" s="8" t="n">
        <v>19</v>
      </c>
      <c r="B24" s="10" t="s">
        <v>499</v>
      </c>
      <c r="C24" s="7" t="s">
        <v>500</v>
      </c>
      <c r="D24" s="8" t="n">
        <v>200</v>
      </c>
      <c r="E24" s="7"/>
      <c r="F24" s="8" t="n">
        <v>0</v>
      </c>
    </row>
    <row r="25" customFormat="false" ht="31.5" hidden="false" customHeight="true" outlineLevel="0" collapsed="false">
      <c r="A25" s="8" t="n">
        <v>20</v>
      </c>
      <c r="B25" s="10" t="s">
        <v>501</v>
      </c>
      <c r="C25" s="7" t="s">
        <v>502</v>
      </c>
      <c r="D25" s="8" t="n">
        <v>2000</v>
      </c>
      <c r="E25" s="7"/>
      <c r="F25" s="8" t="n">
        <v>0</v>
      </c>
    </row>
    <row r="26" customFormat="false" ht="31.5" hidden="false" customHeight="true" outlineLevel="0" collapsed="false">
      <c r="A26" s="8" t="n">
        <v>21</v>
      </c>
      <c r="B26" s="10" t="s">
        <v>503</v>
      </c>
      <c r="C26" s="7" t="s">
        <v>504</v>
      </c>
      <c r="D26" s="8" t="n">
        <v>100</v>
      </c>
      <c r="E26" s="7"/>
      <c r="F26" s="8" t="n">
        <v>0</v>
      </c>
    </row>
    <row r="27" customFormat="false" ht="31.5" hidden="false" customHeight="true" outlineLevel="0" collapsed="false">
      <c r="A27" s="8" t="n">
        <v>22</v>
      </c>
      <c r="B27" s="10" t="s">
        <v>505</v>
      </c>
      <c r="C27" s="7" t="s">
        <v>506</v>
      </c>
      <c r="D27" s="8" t="n">
        <v>120</v>
      </c>
      <c r="E27" s="7"/>
      <c r="F27" s="8" t="n">
        <v>0</v>
      </c>
    </row>
    <row r="28" customFormat="false" ht="31.5" hidden="false" customHeight="true" outlineLevel="0" collapsed="false">
      <c r="A28" s="8" t="n">
        <v>23</v>
      </c>
      <c r="B28" s="10" t="s">
        <v>507</v>
      </c>
      <c r="C28" s="7" t="s">
        <v>508</v>
      </c>
      <c r="D28" s="8" t="n">
        <v>250</v>
      </c>
      <c r="E28" s="7"/>
      <c r="F28" s="8" t="n">
        <v>0</v>
      </c>
    </row>
    <row r="29" customFormat="false" ht="31.5" hidden="false" customHeight="true" outlineLevel="0" collapsed="false">
      <c r="A29" s="8" t="n">
        <v>24</v>
      </c>
      <c r="B29" s="10" t="s">
        <v>509</v>
      </c>
      <c r="C29" s="7" t="s">
        <v>510</v>
      </c>
      <c r="D29" s="8" t="n">
        <v>220</v>
      </c>
      <c r="E29" s="7"/>
      <c r="F29" s="8" t="n">
        <v>0</v>
      </c>
    </row>
    <row r="30" customFormat="false" ht="31.5" hidden="false" customHeight="true" outlineLevel="0" collapsed="false">
      <c r="A30" s="8" t="n">
        <v>25</v>
      </c>
      <c r="B30" s="10" t="s">
        <v>511</v>
      </c>
      <c r="C30" s="7" t="s">
        <v>512</v>
      </c>
      <c r="D30" s="8" t="n">
        <v>250</v>
      </c>
      <c r="E30" s="7"/>
      <c r="F30" s="8" t="n">
        <v>0</v>
      </c>
    </row>
    <row r="31" customFormat="false" ht="31.5" hidden="false" customHeight="true" outlineLevel="0" collapsed="false">
      <c r="A31" s="8" t="n">
        <v>26</v>
      </c>
      <c r="B31" s="10" t="s">
        <v>513</v>
      </c>
      <c r="C31" s="7" t="s">
        <v>514</v>
      </c>
      <c r="D31" s="8" t="n">
        <v>180</v>
      </c>
      <c r="E31" s="7"/>
      <c r="F31" s="8" t="n">
        <v>0</v>
      </c>
    </row>
    <row r="32" customFormat="false" ht="31.5" hidden="false" customHeight="true" outlineLevel="0" collapsed="false">
      <c r="A32" s="8" t="n">
        <v>27</v>
      </c>
      <c r="B32" s="10" t="s">
        <v>515</v>
      </c>
      <c r="C32" s="7" t="s">
        <v>516</v>
      </c>
      <c r="D32" s="8" t="n">
        <v>20</v>
      </c>
      <c r="E32" s="7"/>
      <c r="F32" s="8" t="n">
        <v>0</v>
      </c>
    </row>
    <row r="33" customFormat="false" ht="31.5" hidden="false" customHeight="true" outlineLevel="0" collapsed="false">
      <c r="A33" s="8" t="n">
        <v>28</v>
      </c>
      <c r="B33" s="10" t="s">
        <v>517</v>
      </c>
      <c r="C33" s="7" t="s">
        <v>518</v>
      </c>
      <c r="D33" s="8" t="n">
        <v>100</v>
      </c>
      <c r="E33" s="7"/>
      <c r="F33" s="8" t="n">
        <v>0</v>
      </c>
    </row>
    <row r="34" customFormat="false" ht="31.5" hidden="false" customHeight="true" outlineLevel="0" collapsed="false">
      <c r="A34" s="8" t="n">
        <v>29</v>
      </c>
      <c r="B34" s="10" t="s">
        <v>519</v>
      </c>
      <c r="C34" s="7" t="s">
        <v>520</v>
      </c>
      <c r="D34" s="8" t="n">
        <v>150</v>
      </c>
      <c r="E34" s="7"/>
      <c r="F34" s="8" t="n">
        <v>0</v>
      </c>
    </row>
    <row r="35" customFormat="false" ht="31.5" hidden="false" customHeight="true" outlineLevel="0" collapsed="false">
      <c r="A35" s="8" t="n">
        <v>30</v>
      </c>
      <c r="B35" s="10" t="s">
        <v>521</v>
      </c>
      <c r="C35" s="7" t="s">
        <v>522</v>
      </c>
      <c r="D35" s="8" t="n">
        <v>150</v>
      </c>
      <c r="E35" s="7"/>
      <c r="F35" s="8" t="n">
        <v>0</v>
      </c>
    </row>
    <row r="36" customFormat="false" ht="31.5" hidden="false" customHeight="true" outlineLevel="0" collapsed="false">
      <c r="A36" s="8" t="n">
        <v>31</v>
      </c>
      <c r="B36" s="10" t="s">
        <v>523</v>
      </c>
      <c r="C36" s="7" t="s">
        <v>524</v>
      </c>
      <c r="D36" s="8" t="n">
        <v>200</v>
      </c>
      <c r="E36" s="7"/>
      <c r="F36" s="8" t="n">
        <v>0</v>
      </c>
    </row>
    <row r="37" customFormat="false" ht="31.5" hidden="false" customHeight="true" outlineLevel="0" collapsed="false">
      <c r="A37" s="8" t="n">
        <v>32</v>
      </c>
      <c r="B37" s="10" t="s">
        <v>525</v>
      </c>
      <c r="C37" s="7" t="s">
        <v>526</v>
      </c>
      <c r="D37" s="8" t="n">
        <v>350</v>
      </c>
      <c r="E37" s="7"/>
      <c r="F37" s="8" t="n">
        <v>0</v>
      </c>
    </row>
    <row r="38" customFormat="false" ht="31.5" hidden="false" customHeight="true" outlineLevel="0" collapsed="false">
      <c r="A38" s="8" t="n">
        <v>33</v>
      </c>
      <c r="B38" s="10" t="s">
        <v>527</v>
      </c>
      <c r="C38" s="7" t="s">
        <v>528</v>
      </c>
      <c r="D38" s="8" t="n">
        <v>100</v>
      </c>
      <c r="E38" s="7"/>
      <c r="F38" s="8" t="n">
        <v>0</v>
      </c>
    </row>
    <row r="39" customFormat="false" ht="31.5" hidden="false" customHeight="true" outlineLevel="0" collapsed="false">
      <c r="A39" s="8" t="n">
        <v>34</v>
      </c>
      <c r="B39" s="10" t="s">
        <v>529</v>
      </c>
      <c r="C39" s="7" t="s">
        <v>530</v>
      </c>
      <c r="D39" s="8" t="n">
        <v>450</v>
      </c>
      <c r="E39" s="7"/>
      <c r="F39" s="8" t="n">
        <v>0</v>
      </c>
    </row>
    <row r="40" customFormat="false" ht="31.5" hidden="false" customHeight="true" outlineLevel="0" collapsed="false">
      <c r="A40" s="8" t="n">
        <v>35</v>
      </c>
      <c r="B40" s="10" t="s">
        <v>531</v>
      </c>
      <c r="C40" s="7" t="s">
        <v>532</v>
      </c>
      <c r="D40" s="8" t="n">
        <v>1500</v>
      </c>
      <c r="E40" s="10" t="s">
        <v>533</v>
      </c>
      <c r="F40" s="8" t="n">
        <v>0</v>
      </c>
    </row>
    <row r="41" customFormat="false" ht="31.5" hidden="false" customHeight="true" outlineLevel="0" collapsed="false">
      <c r="A41" s="8" t="n">
        <v>36</v>
      </c>
      <c r="B41" s="10" t="s">
        <v>534</v>
      </c>
      <c r="C41" s="7" t="s">
        <v>535</v>
      </c>
      <c r="D41" s="8" t="n">
        <v>100</v>
      </c>
      <c r="E41" s="10" t="s">
        <v>533</v>
      </c>
      <c r="F41" s="8" t="n">
        <v>0</v>
      </c>
    </row>
    <row r="42" customFormat="false" ht="31.5" hidden="false" customHeight="true" outlineLevel="0" collapsed="false">
      <c r="A42" s="8" t="n">
        <v>37</v>
      </c>
      <c r="B42" s="10" t="s">
        <v>536</v>
      </c>
      <c r="C42" s="7" t="s">
        <v>537</v>
      </c>
      <c r="D42" s="8" t="n">
        <v>2000</v>
      </c>
      <c r="E42" s="10" t="s">
        <v>533</v>
      </c>
      <c r="F42" s="8" t="n">
        <v>0</v>
      </c>
    </row>
    <row r="43" customFormat="false" ht="31.5" hidden="false" customHeight="true" outlineLevel="0" collapsed="false">
      <c r="A43" s="8" t="n">
        <v>38</v>
      </c>
      <c r="B43" s="10" t="s">
        <v>538</v>
      </c>
      <c r="C43" s="7" t="s">
        <v>539</v>
      </c>
      <c r="D43" s="8" t="n">
        <v>2000</v>
      </c>
      <c r="E43" s="10" t="s">
        <v>533</v>
      </c>
      <c r="F43" s="8" t="n">
        <v>0</v>
      </c>
    </row>
    <row r="44" customFormat="false" ht="31.5" hidden="false" customHeight="true" outlineLevel="0" collapsed="false">
      <c r="A44" s="8" t="n">
        <v>39</v>
      </c>
      <c r="B44" s="10" t="s">
        <v>540</v>
      </c>
      <c r="C44" s="7" t="s">
        <v>541</v>
      </c>
      <c r="D44" s="8" t="n">
        <v>50</v>
      </c>
      <c r="E44" s="10" t="s">
        <v>542</v>
      </c>
      <c r="F44" s="8" t="n">
        <v>0</v>
      </c>
    </row>
    <row r="45" customFormat="false" ht="31.5" hidden="false" customHeight="true" outlineLevel="0" collapsed="false">
      <c r="A45" s="8" t="n">
        <v>40</v>
      </c>
      <c r="B45" s="10" t="s">
        <v>543</v>
      </c>
      <c r="C45" s="7" t="s">
        <v>544</v>
      </c>
      <c r="D45" s="8" t="n">
        <v>4000</v>
      </c>
      <c r="E45" s="7"/>
      <c r="F45" s="8" t="n">
        <v>120</v>
      </c>
    </row>
    <row r="46" customFormat="false" ht="31.5" hidden="false" customHeight="true" outlineLevel="0" collapsed="false">
      <c r="A46" s="8" t="n">
        <v>41</v>
      </c>
      <c r="B46" s="10" t="s">
        <v>545</v>
      </c>
      <c r="C46" s="7" t="s">
        <v>546</v>
      </c>
      <c r="D46" s="8" t="n">
        <v>18000</v>
      </c>
      <c r="E46" s="7"/>
      <c r="F46" s="8" t="n">
        <v>340</v>
      </c>
    </row>
  </sheetData>
  <autoFilter ref="A4:F46"/>
  <mergeCells count="3">
    <mergeCell ref="A1:F1"/>
    <mergeCell ref="A2:F2"/>
    <mergeCell ref="A3:F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14"/>
    <col collapsed="false" customWidth="true" hidden="false" outlineLevel="0" max="6" min="6" style="1" width="48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</row>
    <row r="4" customFormat="false" ht="31.5" hidden="false" customHeight="true" outlineLevel="0" collapsed="false">
      <c r="A4" s="6" t="s">
        <v>202</v>
      </c>
      <c r="B4" s="9" t="s">
        <v>204</v>
      </c>
      <c r="C4" s="9" t="s">
        <v>458</v>
      </c>
      <c r="D4" s="9" t="s">
        <v>547</v>
      </c>
      <c r="E4" s="9" t="s">
        <v>548</v>
      </c>
      <c r="F4" s="9" t="s">
        <v>549</v>
      </c>
    </row>
    <row r="5" customFormat="false" ht="31.5" hidden="false" customHeight="true" outlineLevel="0" collapsed="false">
      <c r="A5" s="8" t="n">
        <v>0</v>
      </c>
      <c r="B5" s="7" t="s">
        <v>550</v>
      </c>
      <c r="C5" s="8" t="n">
        <v>125000</v>
      </c>
      <c r="D5" s="8" t="n">
        <v>0</v>
      </c>
      <c r="E5" s="10" t="s">
        <v>551</v>
      </c>
      <c r="F5" s="10" t="s">
        <v>552</v>
      </c>
    </row>
    <row r="6" customFormat="false" ht="31.5" hidden="false" customHeight="true" outlineLevel="0" collapsed="false">
      <c r="A6" s="8" t="n">
        <v>1</v>
      </c>
      <c r="B6" s="7" t="s">
        <v>553</v>
      </c>
      <c r="C6" s="8" t="n">
        <v>150000</v>
      </c>
      <c r="D6" s="8" t="n">
        <v>3</v>
      </c>
      <c r="E6" s="10" t="s">
        <v>551</v>
      </c>
      <c r="F6" s="10" t="s">
        <v>554</v>
      </c>
    </row>
    <row r="7" customFormat="false" ht="31.5" hidden="false" customHeight="true" outlineLevel="0" collapsed="false">
      <c r="A7" s="8" t="n">
        <v>2</v>
      </c>
      <c r="B7" s="7" t="s">
        <v>555</v>
      </c>
      <c r="C7" s="8" t="n">
        <v>125000</v>
      </c>
      <c r="D7" s="8" t="n">
        <v>6</v>
      </c>
      <c r="E7" s="10" t="s">
        <v>551</v>
      </c>
      <c r="F7" s="10" t="s">
        <v>556</v>
      </c>
    </row>
    <row r="8" customFormat="false" ht="48" hidden="false" customHeight="true" outlineLevel="0" collapsed="false">
      <c r="A8" s="8" t="n">
        <v>3</v>
      </c>
      <c r="B8" s="7" t="s">
        <v>557</v>
      </c>
      <c r="C8" s="8" t="n">
        <v>100000</v>
      </c>
      <c r="D8" s="8" t="n">
        <v>8</v>
      </c>
      <c r="E8" s="10" t="s">
        <v>551</v>
      </c>
      <c r="F8" s="10" t="s">
        <v>558</v>
      </c>
    </row>
    <row r="9" customFormat="false" ht="31.5" hidden="false" customHeight="true" outlineLevel="0" collapsed="false">
      <c r="A9" s="8" t="n">
        <v>4</v>
      </c>
      <c r="B9" s="7" t="s">
        <v>559</v>
      </c>
      <c r="C9" s="8" t="n">
        <v>225000</v>
      </c>
      <c r="D9" s="8" t="n">
        <v>10</v>
      </c>
      <c r="E9" s="10" t="s">
        <v>551</v>
      </c>
      <c r="F9" s="10" t="s">
        <v>560</v>
      </c>
    </row>
    <row r="10" customFormat="false" ht="31.5" hidden="false" customHeight="true" outlineLevel="0" collapsed="false">
      <c r="A10" s="8" t="n">
        <v>5</v>
      </c>
      <c r="B10" s="7" t="s">
        <v>561</v>
      </c>
      <c r="C10" s="8" t="n">
        <v>125000</v>
      </c>
      <c r="D10" s="8" t="n">
        <v>12</v>
      </c>
      <c r="E10" s="10" t="s">
        <v>551</v>
      </c>
      <c r="F10" s="10" t="s">
        <v>562</v>
      </c>
    </row>
    <row r="11" customFormat="false" ht="31.5" hidden="false" customHeight="true" outlineLevel="0" collapsed="false">
      <c r="A11" s="8" t="n">
        <v>6</v>
      </c>
      <c r="B11" s="7" t="s">
        <v>563</v>
      </c>
      <c r="C11" s="8" t="n">
        <v>175000</v>
      </c>
      <c r="D11" s="8" t="n">
        <v>14</v>
      </c>
      <c r="E11" s="10" t="s">
        <v>551</v>
      </c>
      <c r="F11" s="10" t="s">
        <v>564</v>
      </c>
    </row>
    <row r="12" customFormat="false" ht="31.5" hidden="false" customHeight="true" outlineLevel="0" collapsed="false">
      <c r="A12" s="8" t="n">
        <v>7</v>
      </c>
      <c r="B12" s="7" t="s">
        <v>565</v>
      </c>
      <c r="C12" s="8" t="n">
        <v>150000</v>
      </c>
      <c r="D12" s="8" t="n">
        <v>16</v>
      </c>
      <c r="E12" s="10" t="s">
        <v>551</v>
      </c>
      <c r="F12" s="10" t="s">
        <v>566</v>
      </c>
    </row>
    <row r="13" customFormat="false" ht="31.5" hidden="false" customHeight="true" outlineLevel="0" collapsed="false">
      <c r="A13" s="8" t="n">
        <v>8</v>
      </c>
      <c r="B13" s="7" t="s">
        <v>567</v>
      </c>
      <c r="C13" s="8" t="n">
        <v>100000</v>
      </c>
      <c r="D13" s="8" t="n">
        <v>18</v>
      </c>
      <c r="E13" s="10" t="s">
        <v>551</v>
      </c>
      <c r="F13" s="10" t="s">
        <v>568</v>
      </c>
    </row>
    <row r="14" customFormat="false" ht="31.5" hidden="false" customHeight="true" outlineLevel="0" collapsed="false">
      <c r="A14" s="8" t="n">
        <v>9</v>
      </c>
      <c r="B14" s="7" t="s">
        <v>569</v>
      </c>
      <c r="C14" s="8" t="n">
        <v>225000</v>
      </c>
      <c r="D14" s="8" t="n">
        <v>20</v>
      </c>
      <c r="E14" s="10" t="s">
        <v>551</v>
      </c>
      <c r="F14" s="10" t="s">
        <v>570</v>
      </c>
    </row>
    <row r="15" customFormat="false" ht="31.5" hidden="false" customHeight="true" outlineLevel="0" collapsed="false">
      <c r="A15" s="8" t="n">
        <v>10</v>
      </c>
      <c r="B15" s="7" t="s">
        <v>571</v>
      </c>
      <c r="C15" s="8" t="n">
        <v>200000</v>
      </c>
      <c r="D15" s="8" t="n">
        <v>22</v>
      </c>
      <c r="E15" s="10" t="s">
        <v>551</v>
      </c>
      <c r="F15" s="10" t="s">
        <v>572</v>
      </c>
    </row>
    <row r="16" customFormat="false" ht="31.5" hidden="false" customHeight="true" outlineLevel="0" collapsed="false">
      <c r="A16" s="8" t="n">
        <v>11</v>
      </c>
      <c r="B16" s="7" t="s">
        <v>573</v>
      </c>
      <c r="C16" s="8" t="n">
        <v>125000</v>
      </c>
      <c r="D16" s="8" t="n">
        <v>24</v>
      </c>
      <c r="E16" s="10" t="s">
        <v>551</v>
      </c>
      <c r="F16" s="10" t="s">
        <v>574</v>
      </c>
    </row>
    <row r="17" customFormat="false" ht="31.5" hidden="false" customHeight="true" outlineLevel="0" collapsed="false">
      <c r="A17" s="8" t="n">
        <v>12</v>
      </c>
      <c r="B17" s="7" t="s">
        <v>575</v>
      </c>
      <c r="C17" s="8" t="n">
        <v>250000</v>
      </c>
      <c r="D17" s="8" t="n">
        <v>26</v>
      </c>
      <c r="E17" s="10" t="s">
        <v>551</v>
      </c>
      <c r="F17" s="10" t="s">
        <v>576</v>
      </c>
    </row>
    <row r="18" customFormat="false" ht="31.5" hidden="false" customHeight="true" outlineLevel="0" collapsed="false">
      <c r="A18" s="8" t="n">
        <v>13</v>
      </c>
      <c r="B18" s="7" t="s">
        <v>577</v>
      </c>
      <c r="C18" s="8" t="n">
        <v>150000</v>
      </c>
      <c r="D18" s="8" t="n">
        <v>28</v>
      </c>
      <c r="E18" s="10" t="s">
        <v>551</v>
      </c>
      <c r="F18" s="10" t="s">
        <v>578</v>
      </c>
    </row>
    <row r="19" customFormat="false" ht="31.5" hidden="false" customHeight="true" outlineLevel="0" collapsed="false">
      <c r="A19" s="8" t="n">
        <v>14</v>
      </c>
      <c r="B19" s="7" t="s">
        <v>579</v>
      </c>
      <c r="C19" s="8" t="n">
        <v>175000</v>
      </c>
      <c r="D19" s="8" t="n">
        <v>30</v>
      </c>
      <c r="E19" s="10" t="s">
        <v>551</v>
      </c>
      <c r="F19" s="10" t="s">
        <v>580</v>
      </c>
    </row>
    <row r="20" customFormat="false" ht="31.5" hidden="false" customHeight="true" outlineLevel="0" collapsed="false">
      <c r="A20" s="8" t="n">
        <v>15</v>
      </c>
      <c r="B20" s="7" t="s">
        <v>581</v>
      </c>
      <c r="C20" s="8" t="n">
        <v>100000</v>
      </c>
      <c r="D20" s="8" t="n">
        <v>32</v>
      </c>
      <c r="E20" s="10" t="s">
        <v>551</v>
      </c>
      <c r="F20" s="10" t="s">
        <v>582</v>
      </c>
    </row>
    <row r="21" customFormat="false" ht="31.5" hidden="false" customHeight="true" outlineLevel="0" collapsed="false">
      <c r="A21" s="8" t="n">
        <v>16</v>
      </c>
      <c r="B21" s="7" t="s">
        <v>583</v>
      </c>
      <c r="C21" s="8" t="n">
        <v>200000</v>
      </c>
      <c r="D21" s="8" t="n">
        <v>34</v>
      </c>
      <c r="E21" s="10" t="s">
        <v>551</v>
      </c>
      <c r="F21" s="10" t="s">
        <v>584</v>
      </c>
    </row>
    <row r="22" customFormat="false" ht="31.5" hidden="false" customHeight="true" outlineLevel="0" collapsed="false">
      <c r="A22" s="8" t="n">
        <v>17</v>
      </c>
      <c r="B22" s="7" t="s">
        <v>585</v>
      </c>
      <c r="C22" s="8" t="n">
        <v>100000</v>
      </c>
      <c r="D22" s="8" t="n">
        <v>36</v>
      </c>
      <c r="E22" s="10" t="s">
        <v>551</v>
      </c>
      <c r="F22" s="10" t="s">
        <v>586</v>
      </c>
    </row>
    <row r="23" customFormat="false" ht="31.5" hidden="false" customHeight="true" outlineLevel="0" collapsed="false">
      <c r="A23" s="8" t="n">
        <v>18</v>
      </c>
      <c r="B23" s="7" t="s">
        <v>587</v>
      </c>
      <c r="C23" s="8" t="n">
        <v>150000</v>
      </c>
      <c r="D23" s="8" t="n">
        <v>38</v>
      </c>
      <c r="E23" s="10" t="s">
        <v>551</v>
      </c>
      <c r="F23" s="10" t="s">
        <v>588</v>
      </c>
    </row>
    <row r="24" customFormat="false" ht="31.5" hidden="false" customHeight="true" outlineLevel="0" collapsed="false">
      <c r="A24" s="8" t="n">
        <v>19</v>
      </c>
      <c r="B24" s="7" t="s">
        <v>589</v>
      </c>
      <c r="C24" s="8" t="n">
        <v>100000</v>
      </c>
      <c r="D24" s="8" t="n">
        <v>40</v>
      </c>
      <c r="E24" s="10" t="s">
        <v>551</v>
      </c>
      <c r="F24" s="10" t="s">
        <v>590</v>
      </c>
    </row>
    <row r="25" customFormat="false" ht="31.5" hidden="false" customHeight="true" outlineLevel="0" collapsed="false">
      <c r="A25" s="8" t="n">
        <v>20</v>
      </c>
      <c r="B25" s="7" t="s">
        <v>591</v>
      </c>
      <c r="C25" s="8" t="n">
        <v>250000</v>
      </c>
      <c r="D25" s="8" t="n">
        <v>42</v>
      </c>
      <c r="E25" s="10" t="s">
        <v>551</v>
      </c>
      <c r="F25" s="10" t="s">
        <v>592</v>
      </c>
    </row>
    <row r="26" customFormat="false" ht="31.5" hidden="false" customHeight="true" outlineLevel="0" collapsed="false">
      <c r="A26" s="8" t="n">
        <v>21</v>
      </c>
      <c r="B26" s="7" t="s">
        <v>593</v>
      </c>
      <c r="C26" s="8" t="n">
        <v>200000</v>
      </c>
      <c r="D26" s="8" t="n">
        <v>44</v>
      </c>
      <c r="E26" s="10" t="s">
        <v>551</v>
      </c>
      <c r="F26" s="10" t="s">
        <v>594</v>
      </c>
    </row>
    <row r="27" customFormat="false" ht="31.5" hidden="false" customHeight="true" outlineLevel="0" collapsed="false">
      <c r="A27" s="8" t="n">
        <v>22</v>
      </c>
      <c r="B27" s="7" t="s">
        <v>595</v>
      </c>
      <c r="C27" s="8" t="n">
        <v>150000</v>
      </c>
      <c r="D27" s="8" t="n">
        <v>46</v>
      </c>
      <c r="E27" s="10" t="s">
        <v>551</v>
      </c>
      <c r="F27" s="10" t="s">
        <v>596</v>
      </c>
    </row>
  </sheetData>
  <autoFilter ref="A4:F27"/>
  <mergeCells count="3">
    <mergeCell ref="A1:F1"/>
    <mergeCell ref="A2:F2"/>
    <mergeCell ref="A3:F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14"/>
    <col collapsed="false" customWidth="true" hidden="false" outlineLevel="0" max="8" min="8" style="1" width="48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  <c r="F1" s="4"/>
      <c r="G1" s="4"/>
      <c r="H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  <c r="F2" s="5"/>
      <c r="G2" s="5"/>
      <c r="H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  <c r="F3" s="5"/>
      <c r="G3" s="5"/>
      <c r="H3" s="5"/>
    </row>
    <row r="4" customFormat="false" ht="31.5" hidden="false" customHeight="true" outlineLevel="0" collapsed="false">
      <c r="A4" s="6" t="s">
        <v>202</v>
      </c>
      <c r="B4" s="9" t="s">
        <v>236</v>
      </c>
      <c r="C4" s="9" t="s">
        <v>204</v>
      </c>
      <c r="D4" s="9" t="s">
        <v>458</v>
      </c>
      <c r="E4" s="9" t="s">
        <v>246</v>
      </c>
      <c r="F4" s="9" t="s">
        <v>597</v>
      </c>
      <c r="G4" s="9" t="s">
        <v>598</v>
      </c>
      <c r="H4" s="9" t="s">
        <v>549</v>
      </c>
    </row>
    <row r="5" customFormat="false" ht="31.5" hidden="false" customHeight="true" outlineLevel="0" collapsed="false">
      <c r="A5" s="8" t="n">
        <v>0</v>
      </c>
      <c r="B5" s="10" t="s">
        <v>599</v>
      </c>
      <c r="C5" s="7" t="s">
        <v>550</v>
      </c>
      <c r="D5" s="8" t="n">
        <v>125000</v>
      </c>
      <c r="E5" s="8" t="n">
        <v>0</v>
      </c>
      <c r="F5" s="8" t="n">
        <v>0</v>
      </c>
      <c r="G5" s="8" t="n">
        <v>0</v>
      </c>
      <c r="H5" s="10" t="s">
        <v>552</v>
      </c>
    </row>
    <row r="6" customFormat="false" ht="31.5" hidden="false" customHeight="true" outlineLevel="0" collapsed="false">
      <c r="A6" s="8" t="n">
        <v>1</v>
      </c>
      <c r="B6" s="10" t="s">
        <v>600</v>
      </c>
      <c r="C6" s="7" t="s">
        <v>601</v>
      </c>
      <c r="D6" s="7"/>
      <c r="E6" s="7"/>
      <c r="F6" s="7"/>
      <c r="G6" s="7"/>
      <c r="H6" s="7"/>
    </row>
    <row r="7" customFormat="false" ht="31.5" hidden="false" customHeight="true" outlineLevel="0" collapsed="false">
      <c r="A7" s="8" t="n">
        <v>2</v>
      </c>
      <c r="B7" s="10" t="s">
        <v>260</v>
      </c>
      <c r="C7" s="7" t="s">
        <v>602</v>
      </c>
      <c r="D7" s="8" t="n">
        <v>200000</v>
      </c>
      <c r="E7" s="8" t="n">
        <v>10000</v>
      </c>
      <c r="F7" s="8" t="n">
        <v>0</v>
      </c>
      <c r="G7" s="8" t="n">
        <v>0</v>
      </c>
      <c r="H7" s="10" t="s">
        <v>603</v>
      </c>
    </row>
    <row r="8" customFormat="false" ht="31.5" hidden="false" customHeight="true" outlineLevel="0" collapsed="false">
      <c r="A8" s="8" t="n">
        <v>3</v>
      </c>
      <c r="B8" s="10" t="s">
        <v>599</v>
      </c>
      <c r="C8" s="7" t="s">
        <v>553</v>
      </c>
      <c r="D8" s="8" t="n">
        <v>150000</v>
      </c>
      <c r="E8" s="8" t="n">
        <v>0</v>
      </c>
      <c r="F8" s="8" t="n">
        <v>0</v>
      </c>
      <c r="G8" s="8" t="n">
        <v>0</v>
      </c>
      <c r="H8" s="10" t="s">
        <v>554</v>
      </c>
    </row>
    <row r="9" customFormat="false" ht="31.5" hidden="false" customHeight="true" outlineLevel="0" collapsed="false">
      <c r="A9" s="8" t="n">
        <v>4</v>
      </c>
      <c r="B9" s="10" t="s">
        <v>260</v>
      </c>
      <c r="C9" s="7" t="s">
        <v>604</v>
      </c>
      <c r="D9" s="8" t="n">
        <v>150000</v>
      </c>
      <c r="E9" s="8" t="n">
        <v>5000</v>
      </c>
      <c r="F9" s="8" t="n">
        <v>0</v>
      </c>
      <c r="G9" s="8" t="n">
        <v>0</v>
      </c>
      <c r="H9" s="10" t="s">
        <v>605</v>
      </c>
    </row>
    <row r="10" customFormat="false" ht="31.5" hidden="false" customHeight="true" outlineLevel="0" collapsed="false">
      <c r="A10" s="8" t="n">
        <v>5</v>
      </c>
      <c r="B10" s="10" t="s">
        <v>606</v>
      </c>
      <c r="C10" s="7" t="s">
        <v>607</v>
      </c>
      <c r="D10" s="7"/>
      <c r="E10" s="7"/>
      <c r="F10" s="7"/>
      <c r="G10" s="7"/>
      <c r="H10" s="7"/>
    </row>
    <row r="11" customFormat="false" ht="31.5" hidden="false" customHeight="true" outlineLevel="0" collapsed="false">
      <c r="A11" s="8" t="n">
        <v>6</v>
      </c>
      <c r="B11" s="10" t="s">
        <v>599</v>
      </c>
      <c r="C11" s="7" t="s">
        <v>555</v>
      </c>
      <c r="D11" s="8" t="n">
        <v>125000</v>
      </c>
      <c r="E11" s="8" t="n">
        <v>0</v>
      </c>
      <c r="F11" s="8" t="n">
        <v>0</v>
      </c>
      <c r="G11" s="8" t="n">
        <v>0</v>
      </c>
      <c r="H11" s="10" t="s">
        <v>556</v>
      </c>
    </row>
    <row r="12" customFormat="false" ht="31.5" hidden="false" customHeight="true" outlineLevel="0" collapsed="false">
      <c r="A12" s="8" t="n">
        <v>7</v>
      </c>
      <c r="B12" s="10" t="s">
        <v>260</v>
      </c>
      <c r="C12" s="7" t="s">
        <v>608</v>
      </c>
      <c r="D12" s="8" t="n">
        <v>150000</v>
      </c>
      <c r="E12" s="8" t="n">
        <v>25000</v>
      </c>
      <c r="F12" s="8" t="n">
        <v>3</v>
      </c>
      <c r="G12" s="8" t="n">
        <v>0</v>
      </c>
      <c r="H12" s="10" t="s">
        <v>609</v>
      </c>
    </row>
    <row r="13" customFormat="false" ht="48" hidden="false" customHeight="true" outlineLevel="0" collapsed="false">
      <c r="A13" s="8" t="n">
        <v>8</v>
      </c>
      <c r="B13" s="10" t="s">
        <v>599</v>
      </c>
      <c r="C13" s="7" t="s">
        <v>557</v>
      </c>
      <c r="D13" s="8" t="n">
        <v>100000</v>
      </c>
      <c r="E13" s="8" t="n">
        <v>0</v>
      </c>
      <c r="F13" s="8" t="n">
        <v>0</v>
      </c>
      <c r="G13" s="8" t="n">
        <v>0</v>
      </c>
      <c r="H13" s="10" t="s">
        <v>558</v>
      </c>
    </row>
    <row r="14" customFormat="false" ht="31.5" hidden="false" customHeight="true" outlineLevel="0" collapsed="false">
      <c r="A14" s="8" t="n">
        <v>9</v>
      </c>
      <c r="B14" s="10" t="s">
        <v>207</v>
      </c>
      <c r="C14" s="7" t="s">
        <v>466</v>
      </c>
      <c r="D14" s="7"/>
      <c r="E14" s="7"/>
      <c r="F14" s="7"/>
      <c r="G14" s="7"/>
      <c r="H14" s="7"/>
    </row>
    <row r="15" customFormat="false" ht="31.5" hidden="false" customHeight="true" outlineLevel="0" collapsed="false">
      <c r="A15" s="8" t="n">
        <v>10</v>
      </c>
      <c r="B15" s="10" t="s">
        <v>599</v>
      </c>
      <c r="C15" s="7" t="s">
        <v>559</v>
      </c>
      <c r="D15" s="8" t="n">
        <v>225000</v>
      </c>
      <c r="E15" s="8" t="n">
        <v>0</v>
      </c>
      <c r="F15" s="8" t="n">
        <v>0</v>
      </c>
      <c r="G15" s="8" t="n">
        <v>0</v>
      </c>
      <c r="H15" s="10" t="s">
        <v>560</v>
      </c>
    </row>
    <row r="16" customFormat="false" ht="31.5" hidden="false" customHeight="true" outlineLevel="0" collapsed="false">
      <c r="A16" s="8" t="n">
        <v>11</v>
      </c>
      <c r="B16" s="10" t="s">
        <v>260</v>
      </c>
      <c r="C16" s="7" t="s">
        <v>610</v>
      </c>
      <c r="D16" s="8" t="n">
        <v>300000</v>
      </c>
      <c r="E16" s="8" t="n">
        <v>10000</v>
      </c>
      <c r="F16" s="8" t="n">
        <v>0</v>
      </c>
      <c r="G16" s="8" t="n">
        <v>0</v>
      </c>
      <c r="H16" s="10" t="s">
        <v>611</v>
      </c>
    </row>
    <row r="17" customFormat="false" ht="31.5" hidden="false" customHeight="true" outlineLevel="0" collapsed="false">
      <c r="A17" s="8" t="n">
        <v>12</v>
      </c>
      <c r="B17" s="10" t="s">
        <v>599</v>
      </c>
      <c r="C17" s="7" t="s">
        <v>561</v>
      </c>
      <c r="D17" s="8" t="n">
        <v>125000</v>
      </c>
      <c r="E17" s="8" t="n">
        <v>0</v>
      </c>
      <c r="F17" s="8" t="n">
        <v>0</v>
      </c>
      <c r="G17" s="8" t="n">
        <v>0</v>
      </c>
      <c r="H17" s="10" t="s">
        <v>562</v>
      </c>
    </row>
    <row r="18" customFormat="false" ht="31.5" hidden="false" customHeight="true" outlineLevel="0" collapsed="false">
      <c r="A18" s="8" t="n">
        <v>13</v>
      </c>
      <c r="B18" s="10" t="s">
        <v>260</v>
      </c>
      <c r="C18" s="7" t="s">
        <v>612</v>
      </c>
      <c r="D18" s="8" t="n">
        <v>250000</v>
      </c>
      <c r="E18" s="8" t="n">
        <v>10000</v>
      </c>
      <c r="F18" s="8" t="n">
        <v>0</v>
      </c>
      <c r="G18" s="8" t="n">
        <v>0</v>
      </c>
      <c r="H18" s="10" t="s">
        <v>613</v>
      </c>
    </row>
    <row r="19" customFormat="false" ht="31.5" hidden="false" customHeight="true" outlineLevel="0" collapsed="false">
      <c r="A19" s="8" t="n">
        <v>14</v>
      </c>
      <c r="B19" s="10" t="s">
        <v>599</v>
      </c>
      <c r="C19" s="7" t="s">
        <v>563</v>
      </c>
      <c r="D19" s="8" t="n">
        <v>175000</v>
      </c>
      <c r="E19" s="8" t="n">
        <v>0</v>
      </c>
      <c r="F19" s="8" t="n">
        <v>0</v>
      </c>
      <c r="G19" s="8" t="n">
        <v>0</v>
      </c>
      <c r="H19" s="10" t="s">
        <v>564</v>
      </c>
    </row>
    <row r="20" customFormat="false" ht="31.5" hidden="false" customHeight="true" outlineLevel="0" collapsed="false">
      <c r="A20" s="8" t="n">
        <v>15</v>
      </c>
      <c r="B20" s="10" t="s">
        <v>260</v>
      </c>
      <c r="C20" s="7" t="s">
        <v>614</v>
      </c>
      <c r="D20" s="8" t="n">
        <v>150000</v>
      </c>
      <c r="E20" s="8" t="n">
        <v>6000</v>
      </c>
      <c r="F20" s="8" t="n">
        <v>0</v>
      </c>
      <c r="G20" s="8" t="n">
        <v>0</v>
      </c>
      <c r="H20" s="10" t="s">
        <v>615</v>
      </c>
    </row>
    <row r="21" customFormat="false" ht="31.5" hidden="false" customHeight="true" outlineLevel="0" collapsed="false">
      <c r="A21" s="8" t="n">
        <v>16</v>
      </c>
      <c r="B21" s="10" t="s">
        <v>599</v>
      </c>
      <c r="C21" s="7" t="s">
        <v>565</v>
      </c>
      <c r="D21" s="8" t="n">
        <v>150000</v>
      </c>
      <c r="E21" s="8" t="n">
        <v>0</v>
      </c>
      <c r="F21" s="8" t="n">
        <v>0</v>
      </c>
      <c r="G21" s="8" t="n">
        <v>0</v>
      </c>
      <c r="H21" s="10" t="s">
        <v>566</v>
      </c>
    </row>
    <row r="22" customFormat="false" ht="31.5" hidden="false" customHeight="true" outlineLevel="0" collapsed="false">
      <c r="A22" s="8" t="n">
        <v>17</v>
      </c>
      <c r="B22" s="10" t="s">
        <v>260</v>
      </c>
      <c r="C22" s="7" t="s">
        <v>616</v>
      </c>
      <c r="D22" s="8" t="n">
        <v>300000</v>
      </c>
      <c r="E22" s="8" t="n">
        <v>75000</v>
      </c>
      <c r="F22" s="8" t="n">
        <v>4</v>
      </c>
      <c r="G22" s="8" t="n">
        <v>0</v>
      </c>
      <c r="H22" s="10" t="s">
        <v>617</v>
      </c>
    </row>
    <row r="23" customFormat="false" ht="31.5" hidden="false" customHeight="true" outlineLevel="0" collapsed="false">
      <c r="A23" s="8" t="n">
        <v>18</v>
      </c>
      <c r="B23" s="10" t="s">
        <v>599</v>
      </c>
      <c r="C23" s="7" t="s">
        <v>567</v>
      </c>
      <c r="D23" s="8" t="n">
        <v>100000</v>
      </c>
      <c r="E23" s="8" t="n">
        <v>0</v>
      </c>
      <c r="F23" s="8" t="n">
        <v>0</v>
      </c>
      <c r="G23" s="8" t="n">
        <v>0</v>
      </c>
      <c r="H23" s="10" t="s">
        <v>568</v>
      </c>
    </row>
    <row r="24" customFormat="false" ht="31.5" hidden="false" customHeight="true" outlineLevel="0" collapsed="false">
      <c r="A24" s="8" t="n">
        <v>19</v>
      </c>
      <c r="B24" s="10" t="s">
        <v>260</v>
      </c>
      <c r="C24" s="10" t="s">
        <v>618</v>
      </c>
      <c r="D24" s="8" t="n">
        <v>200000</v>
      </c>
      <c r="E24" s="8" t="n">
        <v>8000</v>
      </c>
      <c r="F24" s="8" t="n">
        <v>0</v>
      </c>
      <c r="G24" s="8" t="n">
        <v>0</v>
      </c>
      <c r="H24" s="10" t="s">
        <v>619</v>
      </c>
    </row>
    <row r="25" customFormat="false" ht="31.5" hidden="false" customHeight="true" outlineLevel="0" collapsed="false">
      <c r="A25" s="8" t="n">
        <v>20</v>
      </c>
      <c r="B25" s="10" t="s">
        <v>599</v>
      </c>
      <c r="C25" s="7" t="s">
        <v>569</v>
      </c>
      <c r="D25" s="8" t="n">
        <v>225000</v>
      </c>
      <c r="E25" s="8" t="n">
        <v>0</v>
      </c>
      <c r="F25" s="8" t="n">
        <v>0</v>
      </c>
      <c r="G25" s="8" t="n">
        <v>0</v>
      </c>
      <c r="H25" s="10" t="s">
        <v>570</v>
      </c>
    </row>
    <row r="26" customFormat="false" ht="31.5" hidden="false" customHeight="true" outlineLevel="0" collapsed="false">
      <c r="A26" s="8" t="n">
        <v>21</v>
      </c>
      <c r="B26" s="10" t="s">
        <v>606</v>
      </c>
      <c r="C26" s="7" t="s">
        <v>607</v>
      </c>
      <c r="D26" s="7"/>
      <c r="E26" s="7"/>
      <c r="F26" s="7"/>
      <c r="G26" s="7"/>
      <c r="H26" s="7"/>
    </row>
    <row r="27" customFormat="false" ht="31.5" hidden="false" customHeight="true" outlineLevel="0" collapsed="false">
      <c r="A27" s="8" t="n">
        <v>22</v>
      </c>
      <c r="B27" s="10" t="s">
        <v>599</v>
      </c>
      <c r="C27" s="7" t="s">
        <v>571</v>
      </c>
      <c r="D27" s="8" t="n">
        <v>200000</v>
      </c>
      <c r="E27" s="8" t="n">
        <v>0</v>
      </c>
      <c r="F27" s="8" t="n">
        <v>0</v>
      </c>
      <c r="G27" s="8" t="n">
        <v>0</v>
      </c>
      <c r="H27" s="10" t="s">
        <v>572</v>
      </c>
    </row>
    <row r="28" customFormat="false" ht="31.5" hidden="false" customHeight="true" outlineLevel="0" collapsed="false">
      <c r="A28" s="8" t="n">
        <v>23</v>
      </c>
      <c r="B28" s="10" t="s">
        <v>260</v>
      </c>
      <c r="C28" s="7" t="s">
        <v>620</v>
      </c>
      <c r="D28" s="8" t="n">
        <v>25000</v>
      </c>
      <c r="E28" s="8" t="n">
        <v>0</v>
      </c>
      <c r="F28" s="8" t="n">
        <v>6</v>
      </c>
      <c r="G28" s="8" t="n">
        <v>500000</v>
      </c>
      <c r="H28" s="10" t="s">
        <v>621</v>
      </c>
    </row>
    <row r="29" customFormat="false" ht="31.5" hidden="false" customHeight="true" outlineLevel="0" collapsed="false">
      <c r="A29" s="8" t="n">
        <v>24</v>
      </c>
      <c r="B29" s="10" t="s">
        <v>599</v>
      </c>
      <c r="C29" s="7" t="s">
        <v>573</v>
      </c>
      <c r="D29" s="8" t="n">
        <v>125000</v>
      </c>
      <c r="E29" s="8" t="n">
        <v>0</v>
      </c>
      <c r="F29" s="8" t="n">
        <v>0</v>
      </c>
      <c r="G29" s="8" t="n">
        <v>0</v>
      </c>
      <c r="H29" s="10" t="s">
        <v>574</v>
      </c>
    </row>
    <row r="30" customFormat="false" ht="31.5" hidden="false" customHeight="true" outlineLevel="0" collapsed="false">
      <c r="A30" s="8" t="n">
        <v>25</v>
      </c>
      <c r="B30" s="10" t="s">
        <v>622</v>
      </c>
      <c r="C30" s="7" t="s">
        <v>623</v>
      </c>
      <c r="D30" s="7"/>
      <c r="E30" s="7"/>
      <c r="F30" s="7"/>
      <c r="G30" s="7"/>
      <c r="H30" s="7"/>
    </row>
    <row r="31" customFormat="false" ht="31.5" hidden="false" customHeight="true" outlineLevel="0" collapsed="false">
      <c r="A31" s="8" t="n">
        <v>26</v>
      </c>
      <c r="B31" s="10" t="s">
        <v>599</v>
      </c>
      <c r="C31" s="7" t="s">
        <v>575</v>
      </c>
      <c r="D31" s="8" t="n">
        <v>250000</v>
      </c>
      <c r="E31" s="8" t="n">
        <v>0</v>
      </c>
      <c r="F31" s="8" t="n">
        <v>0</v>
      </c>
      <c r="G31" s="8" t="n">
        <v>0</v>
      </c>
      <c r="H31" s="10" t="s">
        <v>576</v>
      </c>
    </row>
    <row r="32" customFormat="false" ht="31.5" hidden="false" customHeight="true" outlineLevel="0" collapsed="false">
      <c r="A32" s="8" t="n">
        <v>27</v>
      </c>
      <c r="B32" s="10" t="s">
        <v>260</v>
      </c>
      <c r="C32" s="10" t="s">
        <v>624</v>
      </c>
      <c r="D32" s="8" t="n">
        <v>300000</v>
      </c>
      <c r="E32" s="8" t="n">
        <v>8000</v>
      </c>
      <c r="F32" s="8" t="n">
        <v>0</v>
      </c>
      <c r="G32" s="8" t="n">
        <v>0</v>
      </c>
      <c r="H32" s="10" t="s">
        <v>625</v>
      </c>
    </row>
    <row r="33" customFormat="false" ht="31.5" hidden="false" customHeight="true" outlineLevel="0" collapsed="false">
      <c r="A33" s="8" t="n">
        <v>28</v>
      </c>
      <c r="B33" s="10" t="s">
        <v>599</v>
      </c>
      <c r="C33" s="7" t="s">
        <v>577</v>
      </c>
      <c r="D33" s="8" t="n">
        <v>150000</v>
      </c>
      <c r="E33" s="8" t="n">
        <v>0</v>
      </c>
      <c r="F33" s="8" t="n">
        <v>0</v>
      </c>
      <c r="G33" s="8" t="n">
        <v>0</v>
      </c>
      <c r="H33" s="10" t="s">
        <v>578</v>
      </c>
    </row>
    <row r="34" customFormat="false" ht="31.5" hidden="false" customHeight="true" outlineLevel="0" collapsed="false">
      <c r="A34" s="8" t="n">
        <v>29</v>
      </c>
      <c r="B34" s="10" t="s">
        <v>260</v>
      </c>
      <c r="C34" s="7" t="s">
        <v>626</v>
      </c>
      <c r="D34" s="8" t="n">
        <v>225000</v>
      </c>
      <c r="E34" s="8" t="n">
        <v>7000</v>
      </c>
      <c r="F34" s="8" t="n">
        <v>0</v>
      </c>
      <c r="G34" s="8" t="n">
        <v>0</v>
      </c>
      <c r="H34" s="10" t="s">
        <v>627</v>
      </c>
    </row>
    <row r="35" customFormat="false" ht="31.5" hidden="false" customHeight="true" outlineLevel="0" collapsed="false">
      <c r="A35" s="8" t="n">
        <v>30</v>
      </c>
      <c r="B35" s="10" t="s">
        <v>599</v>
      </c>
      <c r="C35" s="7" t="s">
        <v>579</v>
      </c>
      <c r="D35" s="8" t="n">
        <v>175000</v>
      </c>
      <c r="E35" s="8" t="n">
        <v>0</v>
      </c>
      <c r="F35" s="8" t="n">
        <v>0</v>
      </c>
      <c r="G35" s="8" t="n">
        <v>0</v>
      </c>
      <c r="H35" s="10" t="s">
        <v>580</v>
      </c>
    </row>
    <row r="36" customFormat="false" ht="31.5" hidden="false" customHeight="true" outlineLevel="0" collapsed="false">
      <c r="A36" s="8" t="n">
        <v>31</v>
      </c>
      <c r="B36" s="10" t="s">
        <v>260</v>
      </c>
      <c r="C36" s="10" t="s">
        <v>628</v>
      </c>
      <c r="D36" s="8" t="n">
        <v>200000</v>
      </c>
      <c r="E36" s="8" t="n">
        <v>6000</v>
      </c>
      <c r="F36" s="8" t="n">
        <v>0</v>
      </c>
      <c r="G36" s="8" t="n">
        <v>0</v>
      </c>
      <c r="H36" s="10" t="s">
        <v>629</v>
      </c>
    </row>
    <row r="37" customFormat="false" ht="31.5" hidden="false" customHeight="true" outlineLevel="0" collapsed="false">
      <c r="A37" s="8" t="n">
        <v>32</v>
      </c>
      <c r="B37" s="10" t="s">
        <v>599</v>
      </c>
      <c r="C37" s="7" t="s">
        <v>581</v>
      </c>
      <c r="D37" s="8" t="n">
        <v>100000</v>
      </c>
      <c r="E37" s="8" t="n">
        <v>0</v>
      </c>
      <c r="F37" s="8" t="n">
        <v>0</v>
      </c>
      <c r="G37" s="8" t="n">
        <v>0</v>
      </c>
      <c r="H37" s="10" t="s">
        <v>582</v>
      </c>
    </row>
    <row r="38" customFormat="false" ht="31.5" hidden="false" customHeight="true" outlineLevel="0" collapsed="false">
      <c r="A38" s="8" t="n">
        <v>33</v>
      </c>
      <c r="B38" s="10" t="s">
        <v>260</v>
      </c>
      <c r="C38" s="7" t="s">
        <v>630</v>
      </c>
      <c r="D38" s="8" t="n">
        <v>50000</v>
      </c>
      <c r="E38" s="8" t="n">
        <v>0</v>
      </c>
      <c r="F38" s="8" t="n">
        <v>5</v>
      </c>
      <c r="G38" s="8" t="n">
        <v>500000</v>
      </c>
      <c r="H38" s="10" t="s">
        <v>631</v>
      </c>
    </row>
    <row r="39" customFormat="false" ht="31.5" hidden="false" customHeight="true" outlineLevel="0" collapsed="false">
      <c r="A39" s="8" t="n">
        <v>34</v>
      </c>
      <c r="B39" s="10" t="s">
        <v>599</v>
      </c>
      <c r="C39" s="7" t="s">
        <v>583</v>
      </c>
      <c r="D39" s="8" t="n">
        <v>200000</v>
      </c>
      <c r="E39" s="8" t="n">
        <v>0</v>
      </c>
      <c r="F39" s="8" t="n">
        <v>0</v>
      </c>
      <c r="G39" s="8" t="n">
        <v>0</v>
      </c>
      <c r="H39" s="10" t="s">
        <v>584</v>
      </c>
    </row>
    <row r="40" customFormat="false" ht="31.5" hidden="false" customHeight="true" outlineLevel="0" collapsed="false">
      <c r="A40" s="8" t="n">
        <v>35</v>
      </c>
      <c r="B40" s="10" t="s">
        <v>260</v>
      </c>
      <c r="C40" s="7" t="s">
        <v>632</v>
      </c>
      <c r="D40" s="8" t="n">
        <v>100000</v>
      </c>
      <c r="E40" s="8" t="n">
        <v>3000</v>
      </c>
      <c r="F40" s="8" t="n">
        <v>0</v>
      </c>
      <c r="G40" s="8" t="n">
        <v>0</v>
      </c>
      <c r="H40" s="10" t="s">
        <v>633</v>
      </c>
    </row>
    <row r="41" customFormat="false" ht="31.5" hidden="false" customHeight="true" outlineLevel="0" collapsed="false">
      <c r="A41" s="8" t="n">
        <v>36</v>
      </c>
      <c r="B41" s="10" t="s">
        <v>599</v>
      </c>
      <c r="C41" s="7" t="s">
        <v>585</v>
      </c>
      <c r="D41" s="8" t="n">
        <v>100000</v>
      </c>
      <c r="E41" s="8" t="n">
        <v>0</v>
      </c>
      <c r="F41" s="8" t="n">
        <v>0</v>
      </c>
      <c r="G41" s="8" t="n">
        <v>0</v>
      </c>
      <c r="H41" s="10" t="s">
        <v>586</v>
      </c>
    </row>
    <row r="42" customFormat="false" ht="31.5" hidden="false" customHeight="true" outlineLevel="0" collapsed="false">
      <c r="A42" s="8" t="n">
        <v>37</v>
      </c>
      <c r="B42" s="10" t="s">
        <v>606</v>
      </c>
      <c r="C42" s="7" t="s">
        <v>607</v>
      </c>
      <c r="D42" s="7"/>
      <c r="E42" s="7"/>
      <c r="F42" s="7"/>
      <c r="G42" s="7"/>
      <c r="H42" s="7"/>
    </row>
    <row r="43" customFormat="false" ht="31.5" hidden="false" customHeight="true" outlineLevel="0" collapsed="false">
      <c r="A43" s="8" t="n">
        <v>38</v>
      </c>
      <c r="B43" s="10" t="s">
        <v>599</v>
      </c>
      <c r="C43" s="7" t="s">
        <v>587</v>
      </c>
      <c r="D43" s="8" t="n">
        <v>150000</v>
      </c>
      <c r="E43" s="8" t="n">
        <v>0</v>
      </c>
      <c r="F43" s="8" t="n">
        <v>0</v>
      </c>
      <c r="G43" s="8" t="n">
        <v>0</v>
      </c>
      <c r="H43" s="10" t="s">
        <v>588</v>
      </c>
    </row>
    <row r="44" customFormat="false" ht="31.5" hidden="false" customHeight="true" outlineLevel="0" collapsed="false">
      <c r="A44" s="8" t="n">
        <v>39</v>
      </c>
      <c r="B44" s="10" t="s">
        <v>260</v>
      </c>
      <c r="C44" s="7" t="s">
        <v>634</v>
      </c>
      <c r="D44" s="8" t="n">
        <v>225000</v>
      </c>
      <c r="E44" s="8" t="n">
        <v>50000</v>
      </c>
      <c r="F44" s="8" t="n">
        <v>4</v>
      </c>
      <c r="G44" s="8" t="n">
        <v>0</v>
      </c>
      <c r="H44" s="10" t="s">
        <v>635</v>
      </c>
    </row>
    <row r="45" customFormat="false" ht="31.5" hidden="false" customHeight="true" outlineLevel="0" collapsed="false">
      <c r="A45" s="8" t="n">
        <v>40</v>
      </c>
      <c r="B45" s="10" t="s">
        <v>599</v>
      </c>
      <c r="C45" s="7" t="s">
        <v>589</v>
      </c>
      <c r="D45" s="8" t="n">
        <v>100000</v>
      </c>
      <c r="E45" s="8" t="n">
        <v>0</v>
      </c>
      <c r="F45" s="8" t="n">
        <v>0</v>
      </c>
      <c r="G45" s="8" t="n">
        <v>0</v>
      </c>
      <c r="H45" s="10" t="s">
        <v>590</v>
      </c>
    </row>
    <row r="46" customFormat="false" ht="31.5" hidden="false" customHeight="true" outlineLevel="0" collapsed="false">
      <c r="A46" s="8" t="n">
        <v>41</v>
      </c>
      <c r="B46" s="10" t="s">
        <v>636</v>
      </c>
      <c r="C46" s="7" t="s">
        <v>637</v>
      </c>
      <c r="D46" s="7"/>
      <c r="E46" s="7"/>
      <c r="F46" s="7"/>
      <c r="G46" s="7"/>
      <c r="H46" s="7"/>
    </row>
    <row r="47" customFormat="false" ht="31.5" hidden="false" customHeight="true" outlineLevel="0" collapsed="false">
      <c r="A47" s="8" t="n">
        <v>42</v>
      </c>
      <c r="B47" s="10" t="s">
        <v>599</v>
      </c>
      <c r="C47" s="7" t="s">
        <v>591</v>
      </c>
      <c r="D47" s="8" t="n">
        <v>250000</v>
      </c>
      <c r="E47" s="8" t="n">
        <v>0</v>
      </c>
      <c r="F47" s="8" t="n">
        <v>0</v>
      </c>
      <c r="G47" s="8" t="n">
        <v>0</v>
      </c>
      <c r="H47" s="10" t="s">
        <v>592</v>
      </c>
    </row>
    <row r="48" customFormat="false" ht="31.5" hidden="false" customHeight="true" outlineLevel="0" collapsed="false">
      <c r="A48" s="8" t="n">
        <v>43</v>
      </c>
      <c r="B48" s="10" t="s">
        <v>260</v>
      </c>
      <c r="C48" s="7" t="s">
        <v>638</v>
      </c>
      <c r="D48" s="8" t="n">
        <v>300000</v>
      </c>
      <c r="E48" s="8" t="n">
        <v>14000</v>
      </c>
      <c r="F48" s="8" t="n">
        <v>0</v>
      </c>
      <c r="G48" s="8" t="n">
        <v>0</v>
      </c>
      <c r="H48" s="10" t="s">
        <v>639</v>
      </c>
    </row>
    <row r="49" customFormat="false" ht="31.5" hidden="false" customHeight="true" outlineLevel="0" collapsed="false">
      <c r="A49" s="8" t="n">
        <v>44</v>
      </c>
      <c r="B49" s="10" t="s">
        <v>599</v>
      </c>
      <c r="C49" s="7" t="s">
        <v>593</v>
      </c>
      <c r="D49" s="8" t="n">
        <v>200000</v>
      </c>
      <c r="E49" s="8" t="n">
        <v>0</v>
      </c>
      <c r="F49" s="8" t="n">
        <v>0</v>
      </c>
      <c r="G49" s="8" t="n">
        <v>0</v>
      </c>
      <c r="H49" s="10" t="s">
        <v>594</v>
      </c>
    </row>
    <row r="50" customFormat="false" ht="31.5" hidden="false" customHeight="true" outlineLevel="0" collapsed="false">
      <c r="A50" s="8" t="n">
        <v>45</v>
      </c>
      <c r="B50" s="10" t="s">
        <v>260</v>
      </c>
      <c r="C50" s="7" t="s">
        <v>640</v>
      </c>
      <c r="D50" s="8" t="n">
        <v>300000</v>
      </c>
      <c r="E50" s="8" t="n">
        <v>9500</v>
      </c>
      <c r="F50" s="8" t="n">
        <v>0</v>
      </c>
      <c r="G50" s="8" t="n">
        <v>0</v>
      </c>
      <c r="H50" s="10" t="s">
        <v>641</v>
      </c>
    </row>
    <row r="51" customFormat="false" ht="31.5" hidden="false" customHeight="true" outlineLevel="0" collapsed="false">
      <c r="A51" s="8" t="n">
        <v>46</v>
      </c>
      <c r="B51" s="10" t="s">
        <v>599</v>
      </c>
      <c r="C51" s="7" t="s">
        <v>595</v>
      </c>
      <c r="D51" s="8" t="n">
        <v>150000</v>
      </c>
      <c r="E51" s="8" t="n">
        <v>0</v>
      </c>
      <c r="F51" s="8" t="n">
        <v>0</v>
      </c>
      <c r="G51" s="8" t="n">
        <v>0</v>
      </c>
      <c r="H51" s="10" t="s">
        <v>596</v>
      </c>
    </row>
    <row r="52" customFormat="false" ht="31.5" hidden="false" customHeight="true" outlineLevel="0" collapsed="false">
      <c r="A52" s="8" t="n">
        <v>47</v>
      </c>
      <c r="B52" s="10" t="s">
        <v>260</v>
      </c>
      <c r="C52" s="7" t="s">
        <v>642</v>
      </c>
      <c r="D52" s="8" t="n">
        <v>120000</v>
      </c>
      <c r="E52" s="8" t="n">
        <v>5000</v>
      </c>
      <c r="F52" s="8" t="n">
        <v>0</v>
      </c>
      <c r="G52" s="8" t="n">
        <v>0</v>
      </c>
      <c r="H52" s="10" t="s">
        <v>643</v>
      </c>
    </row>
  </sheetData>
  <autoFilter ref="A4:H52"/>
  <mergeCells count="3">
    <mergeCell ref="A1:H1"/>
    <mergeCell ref="A2:H2"/>
    <mergeCell ref="A3:H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3.8"/>
    <col collapsed="false" customWidth="true" hidden="false" outlineLevel="0" max="4" min="4" style="1" width="24"/>
    <col collapsed="false" customWidth="true" hidden="false" outlineLevel="0" max="5" min="5" style="1" width="18"/>
  </cols>
  <sheetData>
    <row r="1" customFormat="false" ht="33.75" hidden="false" customHeight="true" outlineLevel="0" collapsed="false">
      <c r="A1" s="4" t="s">
        <v>32</v>
      </c>
      <c r="B1" s="4"/>
      <c r="C1" s="4"/>
      <c r="D1" s="4"/>
      <c r="E1" s="4"/>
    </row>
    <row r="2" customFormat="false" ht="30" hidden="false" customHeight="true" outlineLevel="0" collapsed="false">
      <c r="A2" s="5" t="s">
        <v>33</v>
      </c>
      <c r="B2" s="5"/>
      <c r="C2" s="5"/>
      <c r="D2" s="5"/>
      <c r="E2" s="5"/>
    </row>
    <row r="3" customFormat="false" ht="30" hidden="false" customHeight="true" outlineLevel="0" collapsed="false">
      <c r="A3" s="5" t="s">
        <v>34</v>
      </c>
      <c r="B3" s="5"/>
      <c r="C3" s="5"/>
      <c r="D3" s="5"/>
      <c r="E3" s="5"/>
    </row>
    <row r="4" customFormat="false" ht="31.5" hidden="false" customHeight="true" outlineLevel="0" collapsed="false">
      <c r="A4" s="6" t="s">
        <v>644</v>
      </c>
      <c r="B4" s="6" t="s">
        <v>645</v>
      </c>
      <c r="C4" s="6" t="s">
        <v>5</v>
      </c>
      <c r="D4" s="6" t="s">
        <v>646</v>
      </c>
      <c r="E4" s="6" t="s">
        <v>647</v>
      </c>
    </row>
    <row r="5" customFormat="false" ht="31.5" hidden="false" customHeight="true" outlineLevel="0" collapsed="false">
      <c r="A5" s="10" t="s">
        <v>648</v>
      </c>
      <c r="B5" s="8" t="n">
        <v>12</v>
      </c>
      <c r="C5" s="10" t="s">
        <v>649</v>
      </c>
      <c r="D5" s="7" t="n">
        <f aca="false">COUNTA(职业数据!A5:A1000)</f>
        <v>12</v>
      </c>
      <c r="E5" s="7" t="str">
        <f aca="false">IF(B5=D5,"PASS","CHECK")</f>
        <v>PASS</v>
      </c>
    </row>
    <row r="6" customFormat="false" ht="31.5" hidden="false" customHeight="true" outlineLevel="0" collapsed="false">
      <c r="A6" s="10" t="s">
        <v>650</v>
      </c>
      <c r="B6" s="8" t="n">
        <v>55</v>
      </c>
      <c r="C6" s="10" t="s">
        <v>649</v>
      </c>
      <c r="D6" s="7" t="n">
        <f aca="false">COUNTA(小买卖!A5:A1000)</f>
        <v>55</v>
      </c>
      <c r="E6" s="7" t="str">
        <f aca="false">IF(B6=D6,"PASS","CHECK")</f>
        <v>PASS</v>
      </c>
    </row>
    <row r="7" customFormat="false" ht="31.5" hidden="false" customHeight="true" outlineLevel="0" collapsed="false">
      <c r="A7" s="10" t="s">
        <v>651</v>
      </c>
      <c r="B7" s="8" t="n">
        <v>40</v>
      </c>
      <c r="C7" s="10" t="s">
        <v>649</v>
      </c>
      <c r="D7" s="7" t="n">
        <f aca="false">COUNTA(大买卖!A5:A1000)</f>
        <v>40</v>
      </c>
      <c r="E7" s="7" t="str">
        <f aca="false">IF(B7=D7,"PASS","CHECK")</f>
        <v>PASS</v>
      </c>
    </row>
    <row r="8" customFormat="false" ht="31.5" hidden="false" customHeight="true" outlineLevel="0" collapsed="false">
      <c r="A8" s="10" t="s">
        <v>652</v>
      </c>
      <c r="B8" s="8" t="n">
        <v>45</v>
      </c>
      <c r="C8" s="10" t="s">
        <v>649</v>
      </c>
      <c r="D8" s="7" t="n">
        <f aca="false">COUNTA(市场!A5:A1000)</f>
        <v>45</v>
      </c>
      <c r="E8" s="7" t="str">
        <f aca="false">IF(B8=D8,"PASS","CHECK")</f>
        <v>PASS</v>
      </c>
    </row>
    <row r="9" customFormat="false" ht="31.5" hidden="false" customHeight="true" outlineLevel="0" collapsed="false">
      <c r="A9" s="10" t="s">
        <v>653</v>
      </c>
      <c r="B9" s="8" t="n">
        <v>42</v>
      </c>
      <c r="C9" s="10" t="s">
        <v>649</v>
      </c>
      <c r="D9" s="7" t="n">
        <f aca="false">COUNTA(额外支出!A5:A1000)</f>
        <v>42</v>
      </c>
      <c r="E9" s="7" t="str">
        <f aca="false">IF(B9=D9,"PASS","CHECK")</f>
        <v>PASS</v>
      </c>
    </row>
    <row r="10" customFormat="false" ht="31.5" hidden="false" customHeight="true" outlineLevel="0" collapsed="false">
      <c r="A10" s="10" t="s">
        <v>654</v>
      </c>
      <c r="B10" s="8" t="n">
        <v>23</v>
      </c>
      <c r="C10" s="10" t="s">
        <v>649</v>
      </c>
      <c r="D10" s="7" t="n">
        <f aca="false">COUNTA(梦想!A5:A1000)</f>
        <v>23</v>
      </c>
      <c r="E10" s="7" t="str">
        <f aca="false">IF(B10=D10,"PASS","CHECK")</f>
        <v>PASS</v>
      </c>
    </row>
    <row r="11" customFormat="false" ht="31.5" hidden="false" customHeight="true" outlineLevel="0" collapsed="false">
      <c r="A11" s="10" t="s">
        <v>655</v>
      </c>
      <c r="B11" s="8" t="n">
        <v>48</v>
      </c>
      <c r="C11" s="10" t="s">
        <v>649</v>
      </c>
      <c r="D11" s="7" t="n">
        <f aca="false">COUNTA(快车道!A5:A1000)</f>
        <v>48</v>
      </c>
      <c r="E11" s="7" t="str">
        <f aca="false">IF(B11=D11,"PASS","CHECK")</f>
        <v>PASS</v>
      </c>
    </row>
  </sheetData>
  <autoFilter ref="A4:E11"/>
  <mergeCells count="3">
    <mergeCell ref="A1:E1"/>
    <mergeCell ref="A2:E2"/>
    <mergeCell ref="A3:E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5"/>
    <col collapsed="false" customWidth="true" hidden="false" outlineLevel="0" max="6" min="5" style="1" width="60"/>
  </cols>
  <sheetData>
    <row r="1" customFormat="false" ht="33.75" hidden="false" customHeight="true" outlineLevel="0" collapsed="false">
      <c r="A1" s="13" t="s">
        <v>656</v>
      </c>
      <c r="B1" s="13"/>
      <c r="C1" s="13"/>
      <c r="D1" s="13"/>
      <c r="E1" s="13"/>
      <c r="F1" s="13"/>
    </row>
    <row r="2" customFormat="false" ht="33.75" hidden="false" customHeight="true" outlineLevel="0" collapsed="false">
      <c r="A2" s="14" t="s">
        <v>657</v>
      </c>
      <c r="B2" s="14"/>
      <c r="C2" s="14"/>
      <c r="D2" s="14"/>
      <c r="E2" s="14"/>
      <c r="F2" s="14"/>
    </row>
    <row r="3" customFormat="false" ht="33.75" hidden="false" customHeight="true" outlineLevel="0" collapsed="false">
      <c r="A3" s="14" t="s">
        <v>658</v>
      </c>
      <c r="B3" s="14"/>
      <c r="C3" s="14"/>
      <c r="D3" s="14"/>
      <c r="E3" s="14"/>
      <c r="F3" s="14"/>
    </row>
    <row r="4" customFormat="false" ht="15" hidden="false" customHeight="true" outlineLevel="0" collapsed="false">
      <c r="A4" s="15" t="s">
        <v>659</v>
      </c>
      <c r="B4" s="15" t="s">
        <v>660</v>
      </c>
      <c r="C4" s="15" t="s">
        <v>661</v>
      </c>
      <c r="D4" s="15" t="s">
        <v>662</v>
      </c>
      <c r="E4" s="15" t="s">
        <v>663</v>
      </c>
      <c r="F4" s="15" t="s">
        <v>664</v>
      </c>
    </row>
    <row r="5" customFormat="false" ht="54" hidden="false" customHeight="true" outlineLevel="0" collapsed="false">
      <c r="A5" s="11" t="s">
        <v>648</v>
      </c>
      <c r="B5" s="11" t="s">
        <v>203</v>
      </c>
      <c r="C5" s="16" t="s">
        <v>665</v>
      </c>
      <c r="D5" s="11" t="s">
        <v>666</v>
      </c>
      <c r="E5" s="16" t="s">
        <v>667</v>
      </c>
      <c r="F5" s="11" t="n">
        <v>0</v>
      </c>
    </row>
    <row r="6" customFormat="false" ht="54" hidden="false" customHeight="true" outlineLevel="0" collapsed="false">
      <c r="A6" s="11" t="s">
        <v>648</v>
      </c>
      <c r="B6" s="11" t="s">
        <v>204</v>
      </c>
      <c r="C6" s="16" t="s">
        <v>668</v>
      </c>
      <c r="D6" s="11" t="s">
        <v>669</v>
      </c>
      <c r="E6" s="16" t="s">
        <v>667</v>
      </c>
      <c r="F6" s="16" t="s">
        <v>20</v>
      </c>
    </row>
    <row r="7" customFormat="false" ht="54" hidden="false" customHeight="true" outlineLevel="0" collapsed="false">
      <c r="A7" s="11" t="s">
        <v>648</v>
      </c>
      <c r="B7" s="11" t="s">
        <v>205</v>
      </c>
      <c r="C7" s="16" t="s">
        <v>670</v>
      </c>
      <c r="D7" s="11" t="s">
        <v>669</v>
      </c>
      <c r="E7" s="16" t="s">
        <v>667</v>
      </c>
      <c r="F7" s="11" t="s">
        <v>221</v>
      </c>
    </row>
    <row r="8" customFormat="false" ht="54" hidden="false" customHeight="true" outlineLevel="0" collapsed="false">
      <c r="A8" s="11" t="s">
        <v>648</v>
      </c>
      <c r="B8" s="11" t="s">
        <v>206</v>
      </c>
      <c r="C8" s="16" t="s">
        <v>13</v>
      </c>
      <c r="D8" s="11" t="s">
        <v>666</v>
      </c>
      <c r="E8" s="16" t="s">
        <v>671</v>
      </c>
      <c r="F8" s="11" t="n">
        <v>3300</v>
      </c>
    </row>
    <row r="9" customFormat="false" ht="54" hidden="false" customHeight="true" outlineLevel="0" collapsed="false">
      <c r="A9" s="11" t="s">
        <v>648</v>
      </c>
      <c r="B9" s="11" t="s">
        <v>207</v>
      </c>
      <c r="C9" s="16" t="s">
        <v>14</v>
      </c>
      <c r="D9" s="11" t="s">
        <v>666</v>
      </c>
      <c r="E9" s="16" t="s">
        <v>671</v>
      </c>
      <c r="F9" s="11" t="n">
        <v>630</v>
      </c>
    </row>
    <row r="10" customFormat="false" ht="54" hidden="false" customHeight="true" outlineLevel="0" collapsed="false">
      <c r="A10" s="11" t="s">
        <v>648</v>
      </c>
      <c r="B10" s="11" t="s">
        <v>208</v>
      </c>
      <c r="C10" s="11" t="s">
        <v>672</v>
      </c>
      <c r="D10" s="11" t="s">
        <v>666</v>
      </c>
      <c r="E10" s="16" t="s">
        <v>673</v>
      </c>
      <c r="F10" s="11" t="n">
        <v>500</v>
      </c>
    </row>
    <row r="11" customFormat="false" ht="54" hidden="false" customHeight="true" outlineLevel="0" collapsed="false">
      <c r="A11" s="11" t="s">
        <v>648</v>
      </c>
      <c r="B11" s="11" t="s">
        <v>209</v>
      </c>
      <c r="C11" s="11" t="s">
        <v>674</v>
      </c>
      <c r="D11" s="11" t="s">
        <v>666</v>
      </c>
      <c r="E11" s="16" t="s">
        <v>673</v>
      </c>
      <c r="F11" s="11" t="n">
        <v>60</v>
      </c>
    </row>
    <row r="12" customFormat="false" ht="54" hidden="false" customHeight="true" outlineLevel="0" collapsed="false">
      <c r="A12" s="11" t="s">
        <v>648</v>
      </c>
      <c r="B12" s="11" t="s">
        <v>210</v>
      </c>
      <c r="C12" s="11" t="s">
        <v>675</v>
      </c>
      <c r="D12" s="11" t="s">
        <v>666</v>
      </c>
      <c r="E12" s="16" t="s">
        <v>673</v>
      </c>
      <c r="F12" s="11" t="n">
        <v>100</v>
      </c>
    </row>
    <row r="13" customFormat="false" ht="54" hidden="false" customHeight="true" outlineLevel="0" collapsed="false">
      <c r="A13" s="11" t="s">
        <v>648</v>
      </c>
      <c r="B13" s="11" t="s">
        <v>211</v>
      </c>
      <c r="C13" s="11" t="s">
        <v>676</v>
      </c>
      <c r="D13" s="11" t="s">
        <v>666</v>
      </c>
      <c r="E13" s="16" t="s">
        <v>673</v>
      </c>
      <c r="F13" s="11" t="n">
        <v>90</v>
      </c>
    </row>
    <row r="14" customFormat="false" ht="54" hidden="false" customHeight="true" outlineLevel="0" collapsed="false">
      <c r="A14" s="11" t="s">
        <v>648</v>
      </c>
      <c r="B14" s="11" t="s">
        <v>212</v>
      </c>
      <c r="C14" s="11" t="s">
        <v>677</v>
      </c>
      <c r="D14" s="11" t="s">
        <v>666</v>
      </c>
      <c r="E14" s="16" t="s">
        <v>673</v>
      </c>
      <c r="F14" s="11" t="n">
        <v>50</v>
      </c>
    </row>
    <row r="15" customFormat="false" ht="54" hidden="false" customHeight="true" outlineLevel="0" collapsed="false">
      <c r="A15" s="11" t="s">
        <v>648</v>
      </c>
      <c r="B15" s="11" t="s">
        <v>213</v>
      </c>
      <c r="C15" s="16" t="s">
        <v>678</v>
      </c>
      <c r="D15" s="11" t="s">
        <v>666</v>
      </c>
      <c r="E15" s="16" t="s">
        <v>671</v>
      </c>
      <c r="F15" s="11" t="n">
        <v>760</v>
      </c>
    </row>
    <row r="16" customFormat="false" ht="54" hidden="false" customHeight="true" outlineLevel="0" collapsed="false">
      <c r="A16" s="11" t="s">
        <v>648</v>
      </c>
      <c r="B16" s="11" t="s">
        <v>214</v>
      </c>
      <c r="C16" s="16" t="s">
        <v>19</v>
      </c>
      <c r="D16" s="11" t="s">
        <v>666</v>
      </c>
      <c r="E16" s="16" t="s">
        <v>679</v>
      </c>
      <c r="F16" s="11" t="n">
        <v>400</v>
      </c>
    </row>
    <row r="17" customFormat="false" ht="54" hidden="false" customHeight="true" outlineLevel="0" collapsed="false">
      <c r="A17" s="11" t="s">
        <v>648</v>
      </c>
      <c r="B17" s="11" t="s">
        <v>215</v>
      </c>
      <c r="C17" s="16" t="s">
        <v>680</v>
      </c>
      <c r="D17" s="11" t="s">
        <v>666</v>
      </c>
      <c r="E17" s="16" t="s">
        <v>671</v>
      </c>
      <c r="F17" s="11" t="n">
        <v>180</v>
      </c>
    </row>
    <row r="18" customFormat="false" ht="54" hidden="false" customHeight="true" outlineLevel="0" collapsed="false">
      <c r="A18" s="11" t="s">
        <v>648</v>
      </c>
      <c r="B18" s="11" t="s">
        <v>216</v>
      </c>
      <c r="C18" s="11" t="s">
        <v>681</v>
      </c>
      <c r="D18" s="11" t="s">
        <v>666</v>
      </c>
      <c r="E18" s="16" t="s">
        <v>682</v>
      </c>
      <c r="F18" s="11" t="n">
        <v>50000</v>
      </c>
    </row>
    <row r="19" customFormat="false" ht="54" hidden="false" customHeight="true" outlineLevel="0" collapsed="false">
      <c r="A19" s="11" t="s">
        <v>648</v>
      </c>
      <c r="B19" s="11" t="s">
        <v>217</v>
      </c>
      <c r="C19" s="11" t="s">
        <v>683</v>
      </c>
      <c r="D19" s="11" t="s">
        <v>666</v>
      </c>
      <c r="E19" s="16" t="s">
        <v>682</v>
      </c>
      <c r="F19" s="11" t="n">
        <v>12000</v>
      </c>
    </row>
    <row r="20" customFormat="false" ht="54" hidden="false" customHeight="true" outlineLevel="0" collapsed="false">
      <c r="A20" s="11" t="s">
        <v>648</v>
      </c>
      <c r="B20" s="11" t="s">
        <v>218</v>
      </c>
      <c r="C20" s="11" t="s">
        <v>684</v>
      </c>
      <c r="D20" s="11" t="s">
        <v>666</v>
      </c>
      <c r="E20" s="16" t="s">
        <v>682</v>
      </c>
      <c r="F20" s="11" t="n">
        <v>5000</v>
      </c>
    </row>
    <row r="21" customFormat="false" ht="54" hidden="false" customHeight="true" outlineLevel="0" collapsed="false">
      <c r="A21" s="11" t="s">
        <v>648</v>
      </c>
      <c r="B21" s="11" t="s">
        <v>219</v>
      </c>
      <c r="C21" s="11" t="s">
        <v>685</v>
      </c>
      <c r="D21" s="11" t="s">
        <v>666</v>
      </c>
      <c r="E21" s="16" t="s">
        <v>682</v>
      </c>
      <c r="F21" s="11" t="n">
        <v>3000</v>
      </c>
    </row>
    <row r="22" customFormat="false" ht="54" hidden="false" customHeight="true" outlineLevel="0" collapsed="false">
      <c r="A22" s="11" t="s">
        <v>648</v>
      </c>
      <c r="B22" s="11" t="s">
        <v>220</v>
      </c>
      <c r="C22" s="11" t="s">
        <v>686</v>
      </c>
      <c r="D22" s="11" t="s">
        <v>666</v>
      </c>
      <c r="E22" s="16" t="s">
        <v>682</v>
      </c>
      <c r="F22" s="11" t="n">
        <v>1000</v>
      </c>
    </row>
    <row r="23" customFormat="false" ht="54" hidden="false" customHeight="true" outlineLevel="0" collapsed="false">
      <c r="A23" s="11" t="s">
        <v>650</v>
      </c>
      <c r="B23" s="11" t="s">
        <v>233</v>
      </c>
      <c r="C23" s="16" t="s">
        <v>687</v>
      </c>
      <c r="D23" s="11" t="s">
        <v>669</v>
      </c>
      <c r="E23" s="16" t="s">
        <v>667</v>
      </c>
      <c r="F23" s="11" t="s">
        <v>248</v>
      </c>
    </row>
    <row r="24" customFormat="false" ht="54" hidden="false" customHeight="true" outlineLevel="0" collapsed="false">
      <c r="A24" s="11" t="s">
        <v>650</v>
      </c>
      <c r="B24" s="11" t="s">
        <v>234</v>
      </c>
      <c r="C24" s="16" t="s">
        <v>688</v>
      </c>
      <c r="D24" s="11" t="s">
        <v>689</v>
      </c>
      <c r="E24" s="16" t="s">
        <v>690</v>
      </c>
      <c r="F24" s="11" t="s">
        <v>691</v>
      </c>
    </row>
    <row r="25" customFormat="false" ht="54" hidden="false" customHeight="true" outlineLevel="0" collapsed="false">
      <c r="A25" s="11" t="s">
        <v>650</v>
      </c>
      <c r="B25" s="11" t="s">
        <v>204</v>
      </c>
      <c r="C25" s="16" t="s">
        <v>668</v>
      </c>
      <c r="D25" s="11" t="s">
        <v>669</v>
      </c>
      <c r="E25" s="16" t="s">
        <v>667</v>
      </c>
      <c r="F25" s="16" t="s">
        <v>249</v>
      </c>
    </row>
    <row r="26" customFormat="false" ht="54" hidden="false" customHeight="true" outlineLevel="0" collapsed="false">
      <c r="A26" s="11" t="s">
        <v>650</v>
      </c>
      <c r="B26" s="11" t="s">
        <v>235</v>
      </c>
      <c r="C26" s="16" t="s">
        <v>692</v>
      </c>
      <c r="D26" s="11" t="s">
        <v>669</v>
      </c>
      <c r="E26" s="16" t="s">
        <v>667</v>
      </c>
      <c r="F26" s="11" t="s">
        <v>250</v>
      </c>
    </row>
    <row r="27" customFormat="false" ht="54" hidden="false" customHeight="true" outlineLevel="0" collapsed="false">
      <c r="A27" s="11" t="s">
        <v>650</v>
      </c>
      <c r="B27" s="11" t="s">
        <v>236</v>
      </c>
      <c r="C27" s="16" t="s">
        <v>693</v>
      </c>
      <c r="D27" s="11" t="s">
        <v>669</v>
      </c>
      <c r="E27" s="16" t="s">
        <v>667</v>
      </c>
      <c r="F27" s="11" t="s">
        <v>251</v>
      </c>
    </row>
    <row r="28" customFormat="false" ht="54" hidden="false" customHeight="true" outlineLevel="0" collapsed="false">
      <c r="A28" s="11" t="s">
        <v>650</v>
      </c>
      <c r="B28" s="11" t="s">
        <v>237</v>
      </c>
      <c r="C28" s="16" t="s">
        <v>694</v>
      </c>
      <c r="D28" s="11" t="s">
        <v>666</v>
      </c>
      <c r="E28" s="16" t="s">
        <v>695</v>
      </c>
      <c r="F28" s="11" t="n">
        <v>1</v>
      </c>
    </row>
    <row r="29" customFormat="false" ht="54" hidden="false" customHeight="true" outlineLevel="0" collapsed="false">
      <c r="A29" s="11" t="s">
        <v>650</v>
      </c>
      <c r="B29" s="11" t="s">
        <v>238</v>
      </c>
      <c r="C29" s="16" t="s">
        <v>696</v>
      </c>
      <c r="D29" s="11" t="s">
        <v>669</v>
      </c>
      <c r="E29" s="16" t="s">
        <v>667</v>
      </c>
      <c r="F29" s="11" t="s">
        <v>250</v>
      </c>
    </row>
    <row r="30" customFormat="false" ht="54" hidden="false" customHeight="true" outlineLevel="0" collapsed="false">
      <c r="A30" s="11" t="s">
        <v>650</v>
      </c>
      <c r="B30" s="11" t="s">
        <v>239</v>
      </c>
      <c r="C30" s="16" t="s">
        <v>697</v>
      </c>
      <c r="D30" s="11" t="s">
        <v>666</v>
      </c>
      <c r="E30" s="16" t="s">
        <v>679</v>
      </c>
      <c r="F30" s="11" t="n">
        <v>4000</v>
      </c>
    </row>
    <row r="31" customFormat="false" ht="54" hidden="false" customHeight="true" outlineLevel="0" collapsed="false">
      <c r="A31" s="11" t="s">
        <v>650</v>
      </c>
      <c r="B31" s="11" t="s">
        <v>240</v>
      </c>
      <c r="C31" s="16" t="s">
        <v>698</v>
      </c>
      <c r="D31" s="11" t="s">
        <v>666</v>
      </c>
      <c r="E31" s="16" t="s">
        <v>671</v>
      </c>
      <c r="F31" s="11" t="n">
        <v>20</v>
      </c>
    </row>
    <row r="32" customFormat="false" ht="54" hidden="false" customHeight="true" outlineLevel="0" collapsed="false">
      <c r="A32" s="11" t="s">
        <v>650</v>
      </c>
      <c r="B32" s="11" t="s">
        <v>241</v>
      </c>
      <c r="C32" s="16" t="s">
        <v>699</v>
      </c>
      <c r="D32" s="11" t="s">
        <v>666</v>
      </c>
      <c r="E32" s="16" t="s">
        <v>679</v>
      </c>
      <c r="F32" s="11" t="n">
        <v>4000</v>
      </c>
    </row>
    <row r="33" customFormat="false" ht="54" hidden="false" customHeight="true" outlineLevel="0" collapsed="false">
      <c r="A33" s="11" t="s">
        <v>650</v>
      </c>
      <c r="B33" s="11" t="s">
        <v>242</v>
      </c>
      <c r="C33" s="16" t="s">
        <v>700</v>
      </c>
      <c r="D33" s="11" t="s">
        <v>666</v>
      </c>
      <c r="E33" s="16" t="s">
        <v>679</v>
      </c>
      <c r="F33" s="11" t="n">
        <v>4000</v>
      </c>
    </row>
    <row r="34" customFormat="false" ht="54" hidden="false" customHeight="true" outlineLevel="0" collapsed="false">
      <c r="A34" s="11" t="s">
        <v>650</v>
      </c>
      <c r="B34" s="11" t="s">
        <v>243</v>
      </c>
      <c r="C34" s="16" t="s">
        <v>701</v>
      </c>
      <c r="D34" s="11" t="s">
        <v>666</v>
      </c>
      <c r="E34" s="16" t="s">
        <v>679</v>
      </c>
      <c r="F34" s="11" t="n">
        <v>3000</v>
      </c>
    </row>
    <row r="35" customFormat="false" ht="54" hidden="false" customHeight="true" outlineLevel="0" collapsed="false">
      <c r="A35" s="11" t="s">
        <v>650</v>
      </c>
      <c r="B35" s="11" t="s">
        <v>244</v>
      </c>
      <c r="C35" s="16" t="s">
        <v>702</v>
      </c>
      <c r="D35" s="11" t="s">
        <v>666</v>
      </c>
      <c r="E35" s="16" t="s">
        <v>679</v>
      </c>
      <c r="F35" s="11" t="n">
        <v>3000</v>
      </c>
    </row>
    <row r="36" customFormat="false" ht="54" hidden="false" customHeight="true" outlineLevel="0" collapsed="false">
      <c r="A36" s="11" t="s">
        <v>650</v>
      </c>
      <c r="B36" s="11" t="s">
        <v>245</v>
      </c>
      <c r="C36" s="16" t="s">
        <v>703</v>
      </c>
      <c r="D36" s="11" t="s">
        <v>666</v>
      </c>
      <c r="E36" s="16" t="s">
        <v>679</v>
      </c>
      <c r="F36" s="11" t="n">
        <v>0</v>
      </c>
    </row>
    <row r="37" customFormat="false" ht="54" hidden="false" customHeight="true" outlineLevel="0" collapsed="false">
      <c r="A37" s="11" t="s">
        <v>650</v>
      </c>
      <c r="B37" s="11" t="s">
        <v>246</v>
      </c>
      <c r="C37" s="16" t="s">
        <v>704</v>
      </c>
      <c r="D37" s="11" t="s">
        <v>666</v>
      </c>
      <c r="E37" s="16" t="s">
        <v>705</v>
      </c>
      <c r="F37" s="11" t="n">
        <v>0</v>
      </c>
    </row>
    <row r="38" customFormat="false" ht="54" hidden="false" customHeight="true" outlineLevel="0" collapsed="false">
      <c r="A38" s="11" t="s">
        <v>650</v>
      </c>
      <c r="B38" s="11" t="s">
        <v>247</v>
      </c>
      <c r="C38" s="16" t="s">
        <v>706</v>
      </c>
      <c r="D38" s="11" t="s">
        <v>707</v>
      </c>
      <c r="E38" s="16" t="s">
        <v>708</v>
      </c>
      <c r="F38" s="11" t="n">
        <v>2</v>
      </c>
    </row>
    <row r="39" customFormat="false" ht="54" hidden="false" customHeight="true" outlineLevel="0" collapsed="false">
      <c r="A39" s="11" t="s">
        <v>651</v>
      </c>
      <c r="B39" s="11" t="s">
        <v>233</v>
      </c>
      <c r="C39" s="16" t="s">
        <v>687</v>
      </c>
      <c r="D39" s="11" t="s">
        <v>669</v>
      </c>
      <c r="E39" s="16" t="s">
        <v>667</v>
      </c>
      <c r="F39" s="11" t="s">
        <v>336</v>
      </c>
    </row>
    <row r="40" customFormat="false" ht="54" hidden="false" customHeight="true" outlineLevel="0" collapsed="false">
      <c r="A40" s="11" t="s">
        <v>651</v>
      </c>
      <c r="B40" s="11" t="s">
        <v>234</v>
      </c>
      <c r="C40" s="16" t="s">
        <v>688</v>
      </c>
      <c r="D40" s="11" t="s">
        <v>689</v>
      </c>
      <c r="E40" s="16" t="s">
        <v>690</v>
      </c>
      <c r="F40" s="11" t="s">
        <v>709</v>
      </c>
    </row>
    <row r="41" customFormat="false" ht="54" hidden="false" customHeight="true" outlineLevel="0" collapsed="false">
      <c r="A41" s="11" t="s">
        <v>651</v>
      </c>
      <c r="B41" s="11" t="s">
        <v>204</v>
      </c>
      <c r="C41" s="16" t="s">
        <v>668</v>
      </c>
      <c r="D41" s="11" t="s">
        <v>669</v>
      </c>
      <c r="E41" s="16" t="s">
        <v>667</v>
      </c>
      <c r="F41" s="16" t="s">
        <v>337</v>
      </c>
    </row>
    <row r="42" customFormat="false" ht="54" hidden="false" customHeight="true" outlineLevel="0" collapsed="false">
      <c r="A42" s="11" t="s">
        <v>651</v>
      </c>
      <c r="B42" s="11" t="s">
        <v>235</v>
      </c>
      <c r="C42" s="16" t="s">
        <v>692</v>
      </c>
      <c r="D42" s="11" t="s">
        <v>669</v>
      </c>
      <c r="E42" s="16" t="s">
        <v>667</v>
      </c>
      <c r="F42" s="11" t="s">
        <v>338</v>
      </c>
    </row>
    <row r="43" customFormat="false" ht="54" hidden="false" customHeight="true" outlineLevel="0" collapsed="false">
      <c r="A43" s="11" t="s">
        <v>651</v>
      </c>
      <c r="B43" s="11" t="s">
        <v>236</v>
      </c>
      <c r="C43" s="16" t="s">
        <v>693</v>
      </c>
      <c r="D43" s="11" t="s">
        <v>669</v>
      </c>
      <c r="E43" s="16" t="s">
        <v>667</v>
      </c>
      <c r="F43" s="11" t="s">
        <v>260</v>
      </c>
    </row>
    <row r="44" customFormat="false" ht="54" hidden="false" customHeight="true" outlineLevel="0" collapsed="false">
      <c r="A44" s="11" t="s">
        <v>651</v>
      </c>
      <c r="B44" s="11" t="s">
        <v>237</v>
      </c>
      <c r="C44" s="16" t="s">
        <v>694</v>
      </c>
      <c r="D44" s="11" t="s">
        <v>666</v>
      </c>
      <c r="E44" s="16" t="s">
        <v>695</v>
      </c>
      <c r="F44" s="11" t="n">
        <v>1</v>
      </c>
    </row>
    <row r="45" customFormat="false" ht="54" hidden="false" customHeight="true" outlineLevel="0" collapsed="false">
      <c r="A45" s="11" t="s">
        <v>651</v>
      </c>
      <c r="B45" s="11" t="s">
        <v>243</v>
      </c>
      <c r="C45" s="16" t="s">
        <v>701</v>
      </c>
      <c r="D45" s="11" t="s">
        <v>666</v>
      </c>
      <c r="E45" s="16" t="s">
        <v>679</v>
      </c>
      <c r="F45" s="11" t="n">
        <v>30000</v>
      </c>
    </row>
    <row r="46" customFormat="false" ht="54" hidden="false" customHeight="true" outlineLevel="0" collapsed="false">
      <c r="A46" s="11" t="s">
        <v>651</v>
      </c>
      <c r="B46" s="11" t="s">
        <v>244</v>
      </c>
      <c r="C46" s="16" t="s">
        <v>702</v>
      </c>
      <c r="D46" s="11" t="s">
        <v>666</v>
      </c>
      <c r="E46" s="16" t="s">
        <v>679</v>
      </c>
      <c r="F46" s="11" t="n">
        <v>30000</v>
      </c>
    </row>
    <row r="47" customFormat="false" ht="54" hidden="false" customHeight="true" outlineLevel="0" collapsed="false">
      <c r="A47" s="11" t="s">
        <v>651</v>
      </c>
      <c r="B47" s="11" t="s">
        <v>245</v>
      </c>
      <c r="C47" s="16" t="s">
        <v>703</v>
      </c>
      <c r="D47" s="11" t="s">
        <v>666</v>
      </c>
      <c r="E47" s="16" t="s">
        <v>679</v>
      </c>
      <c r="F47" s="11" t="n">
        <v>0</v>
      </c>
    </row>
    <row r="48" customFormat="false" ht="54" hidden="false" customHeight="true" outlineLevel="0" collapsed="false">
      <c r="A48" s="11" t="s">
        <v>651</v>
      </c>
      <c r="B48" s="11" t="s">
        <v>246</v>
      </c>
      <c r="C48" s="16" t="s">
        <v>704</v>
      </c>
      <c r="D48" s="11" t="s">
        <v>666</v>
      </c>
      <c r="E48" s="16" t="s">
        <v>705</v>
      </c>
      <c r="F48" s="11" t="n">
        <v>1500</v>
      </c>
    </row>
    <row r="49" customFormat="false" ht="54" hidden="false" customHeight="true" outlineLevel="0" collapsed="false">
      <c r="A49" s="11" t="s">
        <v>652</v>
      </c>
      <c r="B49" s="11" t="s">
        <v>233</v>
      </c>
      <c r="C49" s="16" t="s">
        <v>687</v>
      </c>
      <c r="D49" s="11" t="s">
        <v>669</v>
      </c>
      <c r="E49" s="16" t="s">
        <v>667</v>
      </c>
      <c r="F49" s="11" t="s">
        <v>402</v>
      </c>
    </row>
    <row r="50" customFormat="false" ht="54" hidden="false" customHeight="true" outlineLevel="0" collapsed="false">
      <c r="A50" s="11" t="s">
        <v>652</v>
      </c>
      <c r="B50" s="11" t="s">
        <v>398</v>
      </c>
      <c r="C50" s="16" t="s">
        <v>710</v>
      </c>
      <c r="D50" s="11" t="s">
        <v>669</v>
      </c>
      <c r="E50" s="16" t="s">
        <v>667</v>
      </c>
      <c r="F50" s="11" t="s">
        <v>403</v>
      </c>
    </row>
    <row r="51" customFormat="false" ht="54" hidden="false" customHeight="true" outlineLevel="0" collapsed="false">
      <c r="A51" s="11" t="s">
        <v>652</v>
      </c>
      <c r="B51" s="11" t="s">
        <v>399</v>
      </c>
      <c r="C51" s="16" t="s">
        <v>711</v>
      </c>
      <c r="D51" s="11" t="s">
        <v>689</v>
      </c>
      <c r="E51" s="16" t="s">
        <v>690</v>
      </c>
      <c r="F51" s="11" t="s">
        <v>691</v>
      </c>
    </row>
    <row r="52" customFormat="false" ht="54" hidden="false" customHeight="true" outlineLevel="0" collapsed="false">
      <c r="A52" s="11" t="s">
        <v>652</v>
      </c>
      <c r="B52" s="11" t="s">
        <v>235</v>
      </c>
      <c r="C52" s="16" t="s">
        <v>692</v>
      </c>
      <c r="D52" s="11" t="s">
        <v>669</v>
      </c>
      <c r="E52" s="16" t="s">
        <v>712</v>
      </c>
      <c r="F52" s="11" t="s">
        <v>326</v>
      </c>
    </row>
    <row r="53" customFormat="false" ht="54" hidden="false" customHeight="true" outlineLevel="0" collapsed="false">
      <c r="A53" s="11" t="s">
        <v>652</v>
      </c>
      <c r="B53" s="11" t="s">
        <v>400</v>
      </c>
      <c r="C53" s="16" t="s">
        <v>713</v>
      </c>
      <c r="D53" s="11" t="s">
        <v>666</v>
      </c>
      <c r="E53" s="11" t="s">
        <v>714</v>
      </c>
      <c r="F53" s="11" t="n">
        <v>65000</v>
      </c>
    </row>
    <row r="54" customFormat="false" ht="54" hidden="false" customHeight="true" outlineLevel="0" collapsed="false">
      <c r="A54" s="11" t="s">
        <v>652</v>
      </c>
      <c r="B54" s="11" t="s">
        <v>401</v>
      </c>
      <c r="C54" s="16" t="s">
        <v>715</v>
      </c>
      <c r="D54" s="11" t="s">
        <v>666</v>
      </c>
      <c r="E54" s="16" t="s">
        <v>695</v>
      </c>
      <c r="F54" s="11" t="n">
        <v>1</v>
      </c>
    </row>
    <row r="55" customFormat="false" ht="54" hidden="false" customHeight="true" outlineLevel="0" collapsed="false">
      <c r="A55" s="11" t="s">
        <v>653</v>
      </c>
      <c r="B55" s="11" t="s">
        <v>233</v>
      </c>
      <c r="C55" s="16" t="s">
        <v>687</v>
      </c>
      <c r="D55" s="11" t="s">
        <v>669</v>
      </c>
      <c r="E55" s="16" t="s">
        <v>667</v>
      </c>
      <c r="F55" s="11" t="s">
        <v>461</v>
      </c>
    </row>
    <row r="56" customFormat="false" ht="54" hidden="false" customHeight="true" outlineLevel="0" collapsed="false">
      <c r="A56" s="11" t="s">
        <v>653</v>
      </c>
      <c r="B56" s="11" t="s">
        <v>204</v>
      </c>
      <c r="C56" s="16" t="s">
        <v>668</v>
      </c>
      <c r="D56" s="11" t="s">
        <v>669</v>
      </c>
      <c r="E56" s="16" t="s">
        <v>667</v>
      </c>
      <c r="F56" s="16" t="s">
        <v>462</v>
      </c>
    </row>
    <row r="57" customFormat="false" ht="54" hidden="false" customHeight="true" outlineLevel="0" collapsed="false">
      <c r="A57" s="11" t="s">
        <v>653</v>
      </c>
      <c r="B57" s="11" t="s">
        <v>458</v>
      </c>
      <c r="C57" s="16" t="s">
        <v>716</v>
      </c>
      <c r="D57" s="11" t="s">
        <v>666</v>
      </c>
      <c r="E57" s="16" t="s">
        <v>679</v>
      </c>
      <c r="F57" s="11" t="n">
        <v>40</v>
      </c>
    </row>
    <row r="58" customFormat="false" ht="54" hidden="false" customHeight="true" outlineLevel="0" collapsed="false">
      <c r="A58" s="11" t="s">
        <v>653</v>
      </c>
      <c r="B58" s="11" t="s">
        <v>459</v>
      </c>
      <c r="C58" s="16" t="s">
        <v>717</v>
      </c>
      <c r="D58" s="11" t="s">
        <v>718</v>
      </c>
      <c r="E58" s="11" t="s">
        <v>719</v>
      </c>
      <c r="F58" s="11"/>
    </row>
    <row r="59" customFormat="false" ht="54" hidden="false" customHeight="true" outlineLevel="0" collapsed="false">
      <c r="A59" s="11" t="s">
        <v>653</v>
      </c>
      <c r="B59" s="11" t="s">
        <v>460</v>
      </c>
      <c r="C59" s="16" t="s">
        <v>720</v>
      </c>
      <c r="D59" s="11" t="s">
        <v>666</v>
      </c>
      <c r="E59" s="16" t="s">
        <v>671</v>
      </c>
      <c r="F59" s="11" t="n">
        <v>0</v>
      </c>
    </row>
    <row r="60" customFormat="false" ht="54" hidden="false" customHeight="true" outlineLevel="0" collapsed="false">
      <c r="A60" s="11" t="s">
        <v>654</v>
      </c>
      <c r="B60" s="11" t="s">
        <v>204</v>
      </c>
      <c r="C60" s="16" t="s">
        <v>668</v>
      </c>
      <c r="D60" s="11" t="s">
        <v>669</v>
      </c>
      <c r="E60" s="16" t="s">
        <v>667</v>
      </c>
      <c r="F60" s="16" t="s">
        <v>550</v>
      </c>
    </row>
    <row r="61" customFormat="false" ht="54" hidden="false" customHeight="true" outlineLevel="0" collapsed="false">
      <c r="A61" s="11" t="s">
        <v>654</v>
      </c>
      <c r="B61" s="11" t="s">
        <v>458</v>
      </c>
      <c r="C61" s="16" t="s">
        <v>716</v>
      </c>
      <c r="D61" s="11" t="s">
        <v>666</v>
      </c>
      <c r="E61" s="16" t="s">
        <v>679</v>
      </c>
      <c r="F61" s="11" t="n">
        <v>125000</v>
      </c>
    </row>
    <row r="62" customFormat="false" ht="54" hidden="false" customHeight="true" outlineLevel="0" collapsed="false">
      <c r="A62" s="11" t="s">
        <v>654</v>
      </c>
      <c r="B62" s="11" t="s">
        <v>547</v>
      </c>
      <c r="C62" s="16" t="s">
        <v>721</v>
      </c>
      <c r="D62" s="11" t="s">
        <v>666</v>
      </c>
      <c r="E62" s="11" t="s">
        <v>722</v>
      </c>
      <c r="F62" s="11" t="n">
        <v>0</v>
      </c>
    </row>
    <row r="63" customFormat="false" ht="54" hidden="false" customHeight="true" outlineLevel="0" collapsed="false">
      <c r="A63" s="11" t="s">
        <v>654</v>
      </c>
      <c r="B63" s="11" t="s">
        <v>548</v>
      </c>
      <c r="C63" s="16" t="s">
        <v>723</v>
      </c>
      <c r="D63" s="11" t="s">
        <v>669</v>
      </c>
      <c r="E63" s="16" t="s">
        <v>667</v>
      </c>
      <c r="F63" s="11" t="s">
        <v>551</v>
      </c>
    </row>
    <row r="64" customFormat="false" ht="54" hidden="false" customHeight="true" outlineLevel="0" collapsed="false">
      <c r="A64" s="11" t="s">
        <v>654</v>
      </c>
      <c r="B64" s="11" t="s">
        <v>549</v>
      </c>
      <c r="C64" s="16" t="s">
        <v>724</v>
      </c>
      <c r="D64" s="11" t="s">
        <v>669</v>
      </c>
      <c r="E64" s="16" t="s">
        <v>667</v>
      </c>
      <c r="F64" s="11" t="s">
        <v>552</v>
      </c>
    </row>
    <row r="65" customFormat="false" ht="54" hidden="false" customHeight="true" outlineLevel="0" collapsed="false">
      <c r="A65" s="11" t="s">
        <v>655</v>
      </c>
      <c r="B65" s="11" t="s">
        <v>236</v>
      </c>
      <c r="C65" s="16" t="s">
        <v>693</v>
      </c>
      <c r="D65" s="11" t="s">
        <v>669</v>
      </c>
      <c r="E65" s="16" t="s">
        <v>667</v>
      </c>
      <c r="F65" s="11" t="s">
        <v>599</v>
      </c>
    </row>
    <row r="66" customFormat="false" ht="54" hidden="false" customHeight="true" outlineLevel="0" collapsed="false">
      <c r="A66" s="11" t="s">
        <v>655</v>
      </c>
      <c r="B66" s="11" t="s">
        <v>204</v>
      </c>
      <c r="C66" s="16" t="s">
        <v>668</v>
      </c>
      <c r="D66" s="11" t="s">
        <v>669</v>
      </c>
      <c r="E66" s="16" t="s">
        <v>667</v>
      </c>
      <c r="F66" s="16" t="s">
        <v>550</v>
      </c>
    </row>
    <row r="67" customFormat="false" ht="54" hidden="false" customHeight="true" outlineLevel="0" collapsed="false">
      <c r="A67" s="11" t="s">
        <v>655</v>
      </c>
      <c r="B67" s="11" t="s">
        <v>458</v>
      </c>
      <c r="C67" s="16" t="s">
        <v>716</v>
      </c>
      <c r="D67" s="11" t="s">
        <v>666</v>
      </c>
      <c r="E67" s="16" t="s">
        <v>679</v>
      </c>
      <c r="F67" s="11" t="n">
        <v>125000</v>
      </c>
    </row>
    <row r="68" customFormat="false" ht="54" hidden="false" customHeight="true" outlineLevel="0" collapsed="false">
      <c r="A68" s="11" t="s">
        <v>655</v>
      </c>
      <c r="B68" s="11" t="s">
        <v>246</v>
      </c>
      <c r="C68" s="16" t="s">
        <v>704</v>
      </c>
      <c r="D68" s="11" t="s">
        <v>666</v>
      </c>
      <c r="E68" s="16" t="s">
        <v>705</v>
      </c>
      <c r="F68" s="11" t="n">
        <v>0</v>
      </c>
    </row>
    <row r="69" customFormat="false" ht="54" hidden="false" customHeight="true" outlineLevel="0" collapsed="false">
      <c r="A69" s="11" t="s">
        <v>655</v>
      </c>
      <c r="B69" s="11" t="s">
        <v>597</v>
      </c>
      <c r="C69" s="16" t="s">
        <v>725</v>
      </c>
      <c r="D69" s="11" t="s">
        <v>666</v>
      </c>
      <c r="E69" s="16" t="s">
        <v>726</v>
      </c>
      <c r="F69" s="11" t="n">
        <v>0</v>
      </c>
    </row>
    <row r="70" customFormat="false" ht="54" hidden="false" customHeight="true" outlineLevel="0" collapsed="false">
      <c r="A70" s="11" t="s">
        <v>655</v>
      </c>
      <c r="B70" s="11" t="s">
        <v>598</v>
      </c>
      <c r="C70" s="16" t="s">
        <v>727</v>
      </c>
      <c r="D70" s="11" t="s">
        <v>666</v>
      </c>
      <c r="E70" s="16" t="s">
        <v>679</v>
      </c>
      <c r="F70" s="11" t="n">
        <v>0</v>
      </c>
    </row>
    <row r="71" customFormat="false" ht="54" hidden="false" customHeight="true" outlineLevel="0" collapsed="false">
      <c r="A71" s="11" t="s">
        <v>655</v>
      </c>
      <c r="B71" s="11" t="s">
        <v>549</v>
      </c>
      <c r="C71" s="16" t="s">
        <v>724</v>
      </c>
      <c r="D71" s="11" t="s">
        <v>669</v>
      </c>
      <c r="E71" s="16" t="s">
        <v>667</v>
      </c>
      <c r="F71" s="11" t="s">
        <v>552</v>
      </c>
    </row>
  </sheetData>
  <autoFilter ref="A4:F71"/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5"/>
  </cols>
  <sheetData>
    <row r="1" customFormat="false" ht="33.75" hidden="false" customHeight="true" outlineLevel="0" collapsed="false">
      <c r="A1" s="13" t="s">
        <v>728</v>
      </c>
      <c r="B1" s="13"/>
      <c r="C1" s="13"/>
      <c r="D1" s="13"/>
    </row>
    <row r="2" customFormat="false" ht="33.75" hidden="false" customHeight="true" outlineLevel="0" collapsed="false">
      <c r="A2" s="14" t="s">
        <v>729</v>
      </c>
      <c r="B2" s="14"/>
      <c r="C2" s="14"/>
      <c r="D2" s="14"/>
    </row>
    <row r="3" customFormat="false" ht="33.75" hidden="false" customHeight="true" outlineLevel="0" collapsed="false">
      <c r="A3" s="14" t="s">
        <v>730</v>
      </c>
      <c r="B3" s="14"/>
      <c r="C3" s="14"/>
      <c r="D3" s="14"/>
    </row>
    <row r="4" customFormat="false" ht="15" hidden="false" customHeight="true" outlineLevel="0" collapsed="false">
      <c r="A4" s="17" t="s">
        <v>150</v>
      </c>
      <c r="B4" s="15" t="s">
        <v>731</v>
      </c>
      <c r="C4" s="15" t="s">
        <v>732</v>
      </c>
      <c r="D4" s="15" t="s">
        <v>733</v>
      </c>
    </row>
    <row r="5" customFormat="false" ht="54" hidden="false" customHeight="true" outlineLevel="0" collapsed="false">
      <c r="A5" s="11" t="s">
        <v>734</v>
      </c>
      <c r="B5" s="16" t="s">
        <v>735</v>
      </c>
      <c r="C5" s="16" t="s">
        <v>736</v>
      </c>
      <c r="D5" s="16" t="s">
        <v>737</v>
      </c>
    </row>
    <row r="6" customFormat="false" ht="54" hidden="false" customHeight="true" outlineLevel="0" collapsed="false">
      <c r="A6" s="11" t="s">
        <v>738</v>
      </c>
      <c r="B6" s="16" t="s">
        <v>739</v>
      </c>
      <c r="C6" s="16" t="s">
        <v>740</v>
      </c>
      <c r="D6" s="16" t="s">
        <v>741</v>
      </c>
    </row>
    <row r="7" customFormat="false" ht="54" hidden="false" customHeight="true" outlineLevel="0" collapsed="false">
      <c r="A7" s="11" t="s">
        <v>742</v>
      </c>
      <c r="B7" s="16" t="s">
        <v>743</v>
      </c>
      <c r="C7" s="16" t="s">
        <v>744</v>
      </c>
      <c r="D7" s="16" t="s">
        <v>745</v>
      </c>
    </row>
    <row r="8" customFormat="false" ht="54" hidden="false" customHeight="true" outlineLevel="0" collapsed="false">
      <c r="A8" s="11" t="s">
        <v>746</v>
      </c>
      <c r="B8" s="16" t="s">
        <v>747</v>
      </c>
      <c r="C8" s="16" t="s">
        <v>748</v>
      </c>
      <c r="D8" s="16" t="s">
        <v>749</v>
      </c>
    </row>
    <row r="9" customFormat="false" ht="54" hidden="false" customHeight="true" outlineLevel="0" collapsed="false">
      <c r="A9" s="11" t="s">
        <v>750</v>
      </c>
      <c r="B9" s="16" t="s">
        <v>751</v>
      </c>
      <c r="C9" s="16" t="s">
        <v>752</v>
      </c>
      <c r="D9" s="16" t="s">
        <v>753</v>
      </c>
    </row>
    <row r="10" customFormat="false" ht="54" hidden="false" customHeight="true" outlineLevel="0" collapsed="false">
      <c r="A10" s="11" t="s">
        <v>754</v>
      </c>
      <c r="B10" s="16" t="s">
        <v>755</v>
      </c>
      <c r="C10" s="16" t="s">
        <v>756</v>
      </c>
      <c r="D10" s="16" t="s">
        <v>757</v>
      </c>
    </row>
    <row r="11" customFormat="false" ht="54" hidden="false" customHeight="true" outlineLevel="0" collapsed="false">
      <c r="A11" s="11" t="s">
        <v>758</v>
      </c>
      <c r="B11" s="16" t="s">
        <v>759</v>
      </c>
      <c r="C11" s="16" t="s">
        <v>760</v>
      </c>
      <c r="D11" s="16" t="s">
        <v>761</v>
      </c>
    </row>
  </sheetData>
  <autoFilter ref="A4:D11"/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需求规则与数值主表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